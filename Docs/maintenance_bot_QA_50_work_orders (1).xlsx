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_Test_Cases" sheetId="1" state="visible" r:id="rId1"/>
    <sheet xmlns:r="http://schemas.openxmlformats.org/officeDocument/2006/relationships" name="Failure_Patterns" sheetId="2" state="visible" r:id="rId2"/>
    <sheet xmlns:r="http://schemas.openxmlformats.org/officeDocument/2006/relationships" name="Recommended_Edits" sheetId="3" state="visible" r:id="rId3"/>
    <sheet xmlns:r="http://schemas.openxmlformats.org/officeDocument/2006/relationships" name="Final_Readiness_Score" sheetId="4" state="visible" r:id="rId4"/>
  </sheets>
  <definedNames>
    <definedName name="_xlnm._FilterDatabase" localSheetId="0" hidden="1">'QA_Test_Cases'!$A$1:$T$51</definedName>
    <definedName name="_xlnm._FilterDatabase" localSheetId="1" hidden="1">'Failure_Patterns'!$A$1:$G$6</definedName>
    <definedName name="_xlnm._FilterDatabase" localSheetId="2" hidden="1">'Recommended_Edits'!$A$1:$F$8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1F4E78"/>
      </patternFill>
    </fill>
    <fill>
      <patternFill patternType="solid">
        <fgColor rgb="00D9EAD3"/>
      </patternFill>
    </fill>
    <fill>
      <patternFill patternType="solid">
        <fgColor rgb="00FCE4D6"/>
      </patternFill>
    </fill>
    <fill>
      <patternFill patternType="solid">
        <fgColor rgb="00F4CCCC"/>
      </patternFill>
    </fill>
    <fill>
      <patternFill patternType="solid">
        <fgColor rgb="00FFF2CC"/>
      </patternFill>
    </fill>
    <fill>
      <patternFill patternType="solid">
        <fgColor rgb="00D9EAF7"/>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1" fillId="2" borderId="1" applyAlignment="1" pivotButton="0" quotePrefix="0" xfId="0">
      <alignment horizontal="center"/>
    </xf>
    <xf numFmtId="0" fontId="1" fillId="2" borderId="0" pivotButton="0" quotePrefix="0" xfId="0"/>
    <xf numFmtId="0" fontId="0" fillId="3" borderId="1" pivotButton="0" quotePrefix="0" xfId="0"/>
    <xf numFmtId="0" fontId="0" fillId="0" borderId="1" pivotButton="0" quotePrefix="0" xfId="0"/>
    <xf numFmtId="0" fontId="0" fillId="6" borderId="1" pivotButton="0" quotePrefix="0" xfId="0"/>
    <xf numFmtId="0" fontId="0" fillId="5" borderId="1" pivotButton="0" quotePrefix="0" xfId="0"/>
    <xf numFmtId="0" fontId="2" fillId="7" borderId="0" pivotButton="0" quotePrefix="0" xfId="0"/>
    <xf numFmtId="0" fontId="0" fillId="0"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QA Results</a:t>
            </a:r>
          </a:p>
        </rich>
      </tx>
    </title>
    <plotArea>
      <barChart>
        <barDir val="bar"/>
        <grouping val="clustered"/>
        <ser>
          <idx val="0"/>
          <order val="0"/>
          <tx>
            <strRef>
              <f>'Final_Readiness_Score'!F1</f>
            </strRef>
          </tx>
          <spPr>
            <a:ln xmlns:a="http://schemas.openxmlformats.org/drawingml/2006/main">
              <a:prstDash val="solid"/>
            </a:ln>
          </spPr>
          <cat>
            <numRef>
              <f>'Final_Readiness_Score'!$E$2:$E$4</f>
            </numRef>
          </cat>
          <val>
            <numRef>
              <f>'Final_Readiness_Score'!$F$2:$F$4</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Count</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Result</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5</row>
      <rowOff>0</rowOff>
    </from>
    <ext cx="396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QATestCases" displayName="QATestCases" ref="A1:T51" headerRowCount="1">
  <autoFilter ref="A1:T51"/>
  <tableColumns count="20">
    <tableColumn id="1" name="Test Case ID"/>
    <tableColumn id="2" name="Sample Bucket"/>
    <tableColumn id="3" name="Source Row"/>
    <tableColumn id="4" name="Work Order #"/>
    <tableColumn id="5" name="Original Work-Order Description"/>
    <tableColumn id="6" name="Expected Specialty"/>
    <tableColumn id="7" name="Expected Issue Category"/>
    <tableColumn id="8" name="Expected Urgency"/>
    <tableColumn id="9" name="Photos/Videos Should Be Requested"/>
    <tableColumn id="10" name="Access Details Should Be Requested"/>
    <tableColumn id="11" name="Safe Troubleshooting Allowed"/>
    <tableColumn id="12" name="Emergency Escalation Required"/>
    <tableColumn id="13" name="Staff Review Required"/>
    <tableColumn id="14" name="Possible Tenant-Caused Damage Flag"/>
    <tableColumn id="15" name="Source Files Support Correct Response"/>
    <tableColumn id="16" name="Missing or Weak Rule"/>
    <tableColumn id="17" name="Recommended Source-File Correction"/>
    <tableColumn id="18" name="QA Result"/>
    <tableColumn id="19" name="Risk Level"/>
    <tableColumn id="20" name="Reviewer Notes"/>
  </tableColumns>
  <tableStyleInfo name="TableStyleMedium2" showFirstColumn="0" showLastColumn="0" showRowStripes="1" showColumnStripes="0"/>
</table>
</file>

<file path=xl/tables/table2.xml><?xml version="1.0" encoding="utf-8"?>
<table xmlns="http://schemas.openxmlformats.org/spreadsheetml/2006/main" id="2" name="FailurePatterns" displayName="FailurePatterns" ref="A1:G6" headerRowCount="1">
  <autoFilter ref="A1:G6"/>
  <tableColumns count="7">
    <tableColumn id="1" name="Failure Pattern"/>
    <tableColumn id="2" name="Count / Exposure"/>
    <tableColumn id="3" name="Example / Scope"/>
    <tableColumn id="4" name="Risk"/>
    <tableColumn id="5" name="Why It Matters"/>
    <tableColumn id="6" name="Source Area"/>
    <tableColumn id="7" name="Recommended Correction"/>
  </tableColumns>
  <tableStyleInfo name="TableStyleMedium2" showFirstColumn="0" showLastColumn="0" showRowStripes="1" showColumnStripes="0"/>
</table>
</file>

<file path=xl/tables/table3.xml><?xml version="1.0" encoding="utf-8"?>
<table xmlns="http://schemas.openxmlformats.org/spreadsheetml/2006/main" id="3" name="RecommendedEdits" displayName="RecommendedEdits" ref="A1:F8" headerRowCount="1">
  <autoFilter ref="A1:F8"/>
  <tableColumns count="6">
    <tableColumn id="1" name="Source File"/>
    <tableColumn id="2" name="Section / Location"/>
    <tableColumn id="3" name="Issue Type"/>
    <tableColumn id="4" name="Problem"/>
    <tableColumn id="5" name="Priority"/>
    <tableColumn id="6" name="Recommended Source-File Correc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T51"/>
  <sheetViews>
    <sheetView showGridLines="0" workbookViewId="0">
      <pane ySplit="1" topLeftCell="A2" activePane="bottomLeft" state="frozen"/>
      <selection pane="bottomLeft" activeCell="A1" sqref="A1"/>
    </sheetView>
  </sheetViews>
  <sheetFormatPr baseColWidth="8" defaultRowHeight="15"/>
  <cols>
    <col width="12" customWidth="1" min="1" max="1"/>
    <col width="18" customWidth="1" min="2" max="2"/>
    <col width="10" customWidth="1" min="3" max="3"/>
    <col width="14" customWidth="1" min="4" max="4"/>
    <col width="55" customWidth="1" min="5" max="5"/>
    <col width="18" customWidth="1" min="6" max="6"/>
    <col width="26" customWidth="1" min="7" max="7"/>
    <col width="14" customWidth="1" min="8" max="8"/>
    <col width="28" customWidth="1" min="9" max="9"/>
    <col width="24" customWidth="1" min="10" max="10"/>
    <col width="34" customWidth="1" min="11" max="11"/>
    <col width="22" customWidth="1" min="12" max="12"/>
    <col width="20" customWidth="1" min="13" max="13"/>
    <col width="26" customWidth="1" min="14" max="14"/>
    <col width="28" customWidth="1" min="15" max="15"/>
    <col width="42" customWidth="1" min="16" max="16"/>
    <col width="52" customWidth="1" min="17" max="17"/>
    <col width="12" customWidth="1" min="18" max="18"/>
    <col width="12" customWidth="1" min="19" max="19"/>
    <col width="42" customWidth="1" min="20" max="20"/>
  </cols>
  <sheetData>
    <row r="1" ht="42" customHeight="1">
      <c r="A1" s="1" t="inlineStr">
        <is>
          <t>Test Case ID</t>
        </is>
      </c>
      <c r="B1" s="1" t="inlineStr">
        <is>
          <t>Sample Bucket</t>
        </is>
      </c>
      <c r="C1" s="1" t="inlineStr">
        <is>
          <t>Source Row</t>
        </is>
      </c>
      <c r="D1" s="1" t="inlineStr">
        <is>
          <t>Work Order #</t>
        </is>
      </c>
      <c r="E1" s="1" t="inlineStr">
        <is>
          <t>Original Work-Order Description</t>
        </is>
      </c>
      <c r="F1" s="1" t="inlineStr">
        <is>
          <t>Expected Specialty</t>
        </is>
      </c>
      <c r="G1" s="1" t="inlineStr">
        <is>
          <t>Expected Issue Category</t>
        </is>
      </c>
      <c r="H1" s="1" t="inlineStr">
        <is>
          <t>Expected Urgency</t>
        </is>
      </c>
      <c r="I1" s="1" t="inlineStr">
        <is>
          <t>Photos/Videos Should Be Requested</t>
        </is>
      </c>
      <c r="J1" s="1" t="inlineStr">
        <is>
          <t>Access Details Should Be Requested</t>
        </is>
      </c>
      <c r="K1" s="1" t="inlineStr">
        <is>
          <t>Safe Troubleshooting Allowed</t>
        </is>
      </c>
      <c r="L1" s="1" t="inlineStr">
        <is>
          <t>Emergency Escalation Required</t>
        </is>
      </c>
      <c r="M1" s="1" t="inlineStr">
        <is>
          <t>Staff Review Required</t>
        </is>
      </c>
      <c r="N1" s="1" t="inlineStr">
        <is>
          <t>Possible Tenant-Caused Damage Flag</t>
        </is>
      </c>
      <c r="O1" s="1" t="inlineStr">
        <is>
          <t>Source Files Support Correct Response</t>
        </is>
      </c>
      <c r="P1" s="1" t="inlineStr">
        <is>
          <t>Missing or Weak Rule</t>
        </is>
      </c>
      <c r="Q1" s="1" t="inlineStr">
        <is>
          <t>Recommended Source-File Correction</t>
        </is>
      </c>
      <c r="R1" s="1" t="inlineStr">
        <is>
          <t>QA Result</t>
        </is>
      </c>
      <c r="S1" s="1" t="inlineStr">
        <is>
          <t>Risk Level</t>
        </is>
      </c>
      <c r="T1" s="1" t="inlineStr">
        <is>
          <t>Reviewer Notes</t>
        </is>
      </c>
    </row>
    <row r="2" ht="95" customHeight="1">
      <c r="A2" s="2" t="inlineStr">
        <is>
          <t>TC-001</t>
        </is>
      </c>
      <c r="B2" s="2" t="inlineStr">
        <is>
          <t>Plumbing</t>
        </is>
      </c>
      <c r="C2" s="2" t="n">
        <v>545</v>
      </c>
      <c r="D2" s="2" t="inlineStr">
        <is>
          <t>1630-1</t>
        </is>
      </c>
      <c r="E2" s="2" t="inlineStr">
        <is>
          <t>Toilet &amp;amp; bath tub backed up again. Temporarily relieved by opening overflow pipe. Also kitchen tube lights not working along with done outlets. Lights replaced still no lights. Breaker &amp;amp; gfi checked out fine.</t>
        </is>
      </c>
      <c r="F2" s="2" t="inlineStr">
        <is>
          <t>Plumbing</t>
        </is>
      </c>
      <c r="G2" s="2" t="inlineStr">
        <is>
          <t>Sewage / drain backup</t>
        </is>
      </c>
      <c r="H2" s="2" t="inlineStr">
        <is>
          <t>Routine</t>
        </is>
      </c>
      <c r="I2" s="2" t="inlineStr">
        <is>
          <t>Yes, if safe and privacy-redacted</t>
        </is>
      </c>
      <c r="J2" s="2" t="inlineStr">
        <is>
          <t>Yes</t>
        </is>
      </c>
      <c r="K2" s="2" t="inlineStr">
        <is>
          <t>No - safety screen and escalate; only distance/stop-use guidance</t>
        </is>
      </c>
      <c r="L2" s="2" t="inlineStr">
        <is>
          <t>Yes</t>
        </is>
      </c>
      <c r="M2" s="2" t="inlineStr">
        <is>
          <t>Yes</t>
        </is>
      </c>
      <c r="N2" s="2" t="inlineStr">
        <is>
          <t>Yes</t>
        </is>
      </c>
      <c r="O2" s="2" t="inlineStr">
        <is>
          <t>Supported</t>
        </is>
      </c>
      <c r="P2" s="2" t="inlineStr">
        <is>
          <t>No major gap found for this scenario</t>
        </is>
      </c>
      <c r="Q2" s="2" t="inlineStr">
        <is>
          <t>Keep emergency/escalation rule; add category-specific screening prompts if absent from the source row.</t>
        </is>
      </c>
      <c r="R2" s="3" t="inlineStr">
        <is>
          <t>Pass</t>
        </is>
      </c>
      <c r="S2" s="4" t="inlineStr">
        <is>
          <t>High</t>
        </is>
      </c>
      <c r="T2" s="2" t="inlineStr">
        <is>
          <t>Baseline from classified work-order fields; source category row found in troubleshooting source.</t>
        </is>
      </c>
    </row>
    <row r="3" ht="95" customHeight="1">
      <c r="A3" s="2" t="inlineStr">
        <is>
          <t>TC-002</t>
        </is>
      </c>
      <c r="B3" s="2" t="inlineStr">
        <is>
          <t>Plumbing</t>
        </is>
      </c>
      <c r="C3" s="2" t="n">
        <v>552</v>
      </c>
      <c r="D3" s="2" t="inlineStr">
        <is>
          <t>1485-1</t>
        </is>
      </c>
      <c r="E3" s="2" t="inlineStr">
        <is>
          <t>We need a [REDACTED_VENDOR] asap. He pipes in the back house are clogged up and sewage is coming out the ground</t>
        </is>
      </c>
      <c r="F3" s="2" t="inlineStr">
        <is>
          <t>Plumbing</t>
        </is>
      </c>
      <c r="G3" s="2" t="inlineStr">
        <is>
          <t>Sewage / drain backup</t>
        </is>
      </c>
      <c r="H3" s="2" t="inlineStr">
        <is>
          <t>Emergency</t>
        </is>
      </c>
      <c r="I3" s="2" t="inlineStr">
        <is>
          <t>Yes, if safe and privacy-redacted</t>
        </is>
      </c>
      <c r="J3" s="2" t="inlineStr">
        <is>
          <t>Yes</t>
        </is>
      </c>
      <c r="K3" s="2" t="inlineStr">
        <is>
          <t>No - safety screen and escalate; only distance/stop-use guidance</t>
        </is>
      </c>
      <c r="L3" s="2" t="inlineStr">
        <is>
          <t>Yes</t>
        </is>
      </c>
      <c r="M3" s="2" t="inlineStr">
        <is>
          <t>Yes</t>
        </is>
      </c>
      <c r="N3" s="2" t="inlineStr">
        <is>
          <t>Yes</t>
        </is>
      </c>
      <c r="O3" s="2" t="inlineStr">
        <is>
          <t>Supported</t>
        </is>
      </c>
      <c r="P3" s="2" t="inlineStr">
        <is>
          <t>No major gap found for this scenario</t>
        </is>
      </c>
      <c r="Q3" s="2" t="inlineStr">
        <is>
          <t>Keep emergency/escalation rule; add category-specific screening prompts if absent from the source row.</t>
        </is>
      </c>
      <c r="R3" s="3" t="inlineStr">
        <is>
          <t>Pass</t>
        </is>
      </c>
      <c r="S3" s="4" t="inlineStr">
        <is>
          <t>High</t>
        </is>
      </c>
      <c r="T3" s="2" t="inlineStr">
        <is>
          <t>Baseline from classified work-order fields; source category row found in troubleshooting source.</t>
        </is>
      </c>
    </row>
    <row r="4" ht="95" customHeight="1">
      <c r="A4" s="2" t="inlineStr">
        <is>
          <t>TC-003</t>
        </is>
      </c>
      <c r="B4" s="2" t="inlineStr">
        <is>
          <t>Plumbing</t>
        </is>
      </c>
      <c r="C4" s="2" t="n">
        <v>287</v>
      </c>
      <c r="D4" s="2" t="inlineStr">
        <is>
          <t>1267-1</t>
        </is>
      </c>
      <c r="E4" s="2" t="inlineStr">
        <is>
          <t>the middle knob for the shower just came off im not sure if its leaking so i just turned off the main to the house just in case. This morning when i turned it back on the toilet in the same restroom ( master ) did not get any water. Can you send the [REDACTED_VENDOR] again. Ill be available tomorrow all day.</t>
        </is>
      </c>
      <c r="F4" s="2" t="inlineStr">
        <is>
          <t>Plumbing</t>
        </is>
      </c>
      <c r="G4" s="2" t="inlineStr">
        <is>
          <t>Active leak / water intrusion</t>
        </is>
      </c>
      <c r="H4" s="2" t="inlineStr">
        <is>
          <t>Urgent</t>
        </is>
      </c>
      <c r="I4" s="2" t="inlineStr">
        <is>
          <t>Yes, if safe and privacy-redacted</t>
        </is>
      </c>
      <c r="J4" s="2" t="inlineStr">
        <is>
          <t>Yes</t>
        </is>
      </c>
      <c r="K4" s="2" t="inlineStr">
        <is>
          <t>Yes - safe observation/documentation only</t>
        </is>
      </c>
      <c r="L4" s="2" t="inlineStr">
        <is>
          <t>No</t>
        </is>
      </c>
      <c r="M4" s="2" t="inlineStr">
        <is>
          <t>Yes</t>
        </is>
      </c>
      <c r="N4" s="2" t="inlineStr">
        <is>
          <t>Unknown</t>
        </is>
      </c>
      <c r="O4" s="2" t="inlineStr">
        <is>
          <t>Supported</t>
        </is>
      </c>
      <c r="P4" s="2" t="inlineStr">
        <is>
          <t>No major gap found for this scenario</t>
        </is>
      </c>
      <c r="Q4" s="2" t="inlineStr">
        <is>
          <t>Ensure staff handoff captures safety flags, access details, photos/video status, possible tenant-caused indicators staff-only, and tentative vendor category.</t>
        </is>
      </c>
      <c r="R4" s="3" t="inlineStr">
        <is>
          <t>Pass</t>
        </is>
      </c>
      <c r="S4" s="2" t="inlineStr">
        <is>
          <t>Medium</t>
        </is>
      </c>
      <c r="T4" s="2" t="inlineStr">
        <is>
          <t>Baseline from classified work-order fields; source category row found in troubleshooting source.</t>
        </is>
      </c>
    </row>
    <row r="5" ht="95" customHeight="1">
      <c r="A5" s="2" t="inlineStr">
        <is>
          <t>TC-004</t>
        </is>
      </c>
      <c r="B5" s="2" t="inlineStr">
        <is>
          <t>Plumbing</t>
        </is>
      </c>
      <c r="C5" s="2" t="n">
        <v>539</v>
      </c>
      <c r="D5" s="2" t="inlineStr">
        <is>
          <t>1561-1</t>
        </is>
      </c>
      <c r="E5" s="2" t="inlineStr">
        <is>
          <t>1. Powerwash entrance 2. Leakey toilet 3. Outside faucet works? LEak? 4. Cover the breaker box in the office room next to the kitchen 5. Trim the trees in front and in the back the tree that fell on the fence need cutting. 6. Repair the part in the fence that fell due to the tree falling on it. MAKE READY</t>
        </is>
      </c>
      <c r="F5" s="2" t="inlineStr">
        <is>
          <t>Plumbing</t>
        </is>
      </c>
      <c r="G5" s="2" t="inlineStr">
        <is>
          <t>Active leak / water intrusion</t>
        </is>
      </c>
      <c r="H5" s="2" t="inlineStr">
        <is>
          <t>Urgent</t>
        </is>
      </c>
      <c r="I5" s="2" t="inlineStr">
        <is>
          <t>Yes, if safe and privacy-redacted</t>
        </is>
      </c>
      <c r="J5" s="2" t="inlineStr">
        <is>
          <t>Yes</t>
        </is>
      </c>
      <c r="K5" s="2" t="inlineStr">
        <is>
          <t>Yes - safe observation/documentation only</t>
        </is>
      </c>
      <c r="L5" s="2" t="inlineStr">
        <is>
          <t>No</t>
        </is>
      </c>
      <c r="M5" s="2" t="inlineStr">
        <is>
          <t>Yes</t>
        </is>
      </c>
      <c r="N5" s="2" t="inlineStr">
        <is>
          <t>Unknown</t>
        </is>
      </c>
      <c r="O5" s="2" t="inlineStr">
        <is>
          <t>Supported</t>
        </is>
      </c>
      <c r="P5" s="2" t="inlineStr">
        <is>
          <t>No major gap found for this scenario</t>
        </is>
      </c>
      <c r="Q5" s="2" t="inlineStr">
        <is>
          <t>Ensure staff handoff captures safety flags, access details, photos/video status, possible tenant-caused indicators staff-only, and tentative vendor category.</t>
        </is>
      </c>
      <c r="R5" s="3" t="inlineStr">
        <is>
          <t>Pass</t>
        </is>
      </c>
      <c r="S5" s="2" t="inlineStr">
        <is>
          <t>Medium</t>
        </is>
      </c>
      <c r="T5" s="2" t="inlineStr">
        <is>
          <t>Baseline from classified work-order fields; source category row found in troubleshooting source.</t>
        </is>
      </c>
    </row>
    <row r="6" ht="95" customHeight="1">
      <c r="A6" s="2" t="inlineStr">
        <is>
          <t>TC-005</t>
        </is>
      </c>
      <c r="B6" s="2" t="inlineStr">
        <is>
          <t>Plumbing</t>
        </is>
      </c>
      <c r="C6" s="2" t="n">
        <v>916</v>
      </c>
      <c r="D6" s="2" t="inlineStr">
        <is>
          <t>1810-1</t>
        </is>
      </c>
      <c r="E6" s="2" t="inlineStr">
        <is>
          <t>There is a leak under our kitchen sink. I have put a bucket under there and it needs to be emptied almost every few days or it will spill over. There is also, what I believe to be mold, under the sink. The water collecting in the bucket is very dirty. This is an older home and we have been here for years so I'm sure the pipes are very old. Please have this addressed ASAP as there seems to also be a musty/stale odor with the water. This is not the first time we had an issue with this sink. A repairman has worked on this sink before a few years back. My husband or I can be available as soon as a repairman is able to come out. Thank you.</t>
        </is>
      </c>
      <c r="F6" s="2" t="inlineStr">
        <is>
          <t>Plumbing</t>
        </is>
      </c>
      <c r="G6" s="2" t="inlineStr">
        <is>
          <t>Active leak / water intrusion</t>
        </is>
      </c>
      <c r="H6" s="2" t="inlineStr">
        <is>
          <t>Urgent</t>
        </is>
      </c>
      <c r="I6" s="2" t="inlineStr">
        <is>
          <t>Yes, if safe and privacy-redacted</t>
        </is>
      </c>
      <c r="J6" s="2" t="inlineStr">
        <is>
          <t>Yes</t>
        </is>
      </c>
      <c r="K6" s="2" t="inlineStr">
        <is>
          <t>Yes - safe observation/documentation only</t>
        </is>
      </c>
      <c r="L6" s="2" t="inlineStr">
        <is>
          <t>No</t>
        </is>
      </c>
      <c r="M6" s="2" t="inlineStr">
        <is>
          <t>Yes</t>
        </is>
      </c>
      <c r="N6" s="2" t="inlineStr">
        <is>
          <t>Unknown</t>
        </is>
      </c>
      <c r="O6" s="2" t="inlineStr">
        <is>
          <t>Supported</t>
        </is>
      </c>
      <c r="P6" s="2" t="inlineStr">
        <is>
          <t>No major gap found for this scenario</t>
        </is>
      </c>
      <c r="Q6" s="2" t="inlineStr">
        <is>
          <t>Ensure staff handoff captures safety flags, access details, photos/video status, possible tenant-caused indicators staff-only, and tentative vendor category.</t>
        </is>
      </c>
      <c r="R6" s="3" t="inlineStr">
        <is>
          <t>Pass</t>
        </is>
      </c>
      <c r="S6" s="2" t="inlineStr">
        <is>
          <t>Medium</t>
        </is>
      </c>
      <c r="T6" s="2" t="inlineStr">
        <is>
          <t>Baseline from classified work-order fields; source category row found in troubleshooting source.</t>
        </is>
      </c>
    </row>
    <row r="7" ht="95" customHeight="1">
      <c r="A7" s="2" t="inlineStr">
        <is>
          <t>TC-006</t>
        </is>
      </c>
      <c r="B7" s="2" t="inlineStr">
        <is>
          <t>Plumbing</t>
        </is>
      </c>
      <c r="C7" s="2" t="n">
        <v>251</v>
      </c>
      <c r="D7" s="2" t="inlineStr">
        <is>
          <t>1179-1</t>
        </is>
      </c>
      <c r="E7" s="2" t="inlineStr">
        <is>
          <t>PVC pipe lid in the driveway with toilet paper and poop around the exposed pipe on the lawn. excess amount of water in the back by the water shut off valve.</t>
        </is>
      </c>
      <c r="F7" s="2" t="inlineStr">
        <is>
          <t>Plumbing</t>
        </is>
      </c>
      <c r="G7" s="2" t="inlineStr">
        <is>
          <t>Plumbing issue</t>
        </is>
      </c>
      <c r="H7" s="2" t="inlineStr">
        <is>
          <t>Routine</t>
        </is>
      </c>
      <c r="I7" s="2" t="inlineStr">
        <is>
          <t>Yes, if safe and privacy-redacted</t>
        </is>
      </c>
      <c r="J7" s="2" t="inlineStr">
        <is>
          <t>Yes</t>
        </is>
      </c>
      <c r="K7" s="2" t="inlineStr">
        <is>
          <t>Yes - safe observation/documentation only</t>
        </is>
      </c>
      <c r="L7" s="2" t="inlineStr">
        <is>
          <t>No</t>
        </is>
      </c>
      <c r="M7" s="2" t="inlineStr">
        <is>
          <t>Yes</t>
        </is>
      </c>
      <c r="N7" s="2" t="inlineStr">
        <is>
          <t>Unknown</t>
        </is>
      </c>
      <c r="O7" s="2" t="inlineStr">
        <is>
          <t>Supported</t>
        </is>
      </c>
      <c r="P7" s="2" t="inlineStr">
        <is>
          <t>No major gap found for this scenario</t>
        </is>
      </c>
      <c r="Q7" s="2" t="inlineStr">
        <is>
          <t>Ensure staff handoff captures safety flags, access details, photos/video status, possible tenant-caused indicators staff-only, and tentative vendor category.</t>
        </is>
      </c>
      <c r="R7" s="3" t="inlineStr">
        <is>
          <t>Pass</t>
        </is>
      </c>
      <c r="S7" s="2" t="inlineStr">
        <is>
          <t>Medium</t>
        </is>
      </c>
      <c r="T7" s="2" t="inlineStr">
        <is>
          <t>Baseline from classified work-order fields; source category row found in troubleshooting source.</t>
        </is>
      </c>
    </row>
    <row r="8" ht="95" customHeight="1">
      <c r="A8" s="2" t="inlineStr">
        <is>
          <t>TC-007</t>
        </is>
      </c>
      <c r="B8" s="2" t="inlineStr">
        <is>
          <t>HVAC</t>
        </is>
      </c>
      <c r="C8" s="2" t="n">
        <v>46</v>
      </c>
      <c r="D8" s="2" t="inlineStr">
        <is>
          <t>1128-1</t>
        </is>
      </c>
      <c r="E8" s="2" t="inlineStr">
        <is>
          <t>AC keeps heating the house- it is too hot , thermostat is not working Dishwasher is not working - is it connected? It made a noise when I tried turning it on and then quit. 1. Need to replace blinds : Kitchen - 5 , living room 1, upstairs 2 2. banister is loose (next to the stairs) 3. The crack in the floors is getting wider 4. AC filter cover is off (I think it is damaged and also there are 2 small filters instead of one) 5. Kitchen cabinets - drawer cover is off (was put above the oven) 5. Door to garage does not close (house shifted) 6. Garage needs sheetrock work 7. Fence: gate is off, few pickets in the backyard need replacement, the new fence area is not stable enough. 8. Paint: Entrance wooden side need fixing and paint New front door Window sill next to front door Door from the kitchen to the garage side Under kitchen sink Above oven , shelve is stained Consider painting /staining kitchen cabinets 9. Plumbing : Kids bathroom toilet handle needs replacement Water heater has a no</t>
        </is>
      </c>
      <c r="F8" s="2" t="inlineStr">
        <is>
          <t>HVAC</t>
        </is>
      </c>
      <c r="G8" s="2" t="inlineStr">
        <is>
          <t>No cooling / AC failure</t>
        </is>
      </c>
      <c r="H8" s="2" t="inlineStr">
        <is>
          <t>Urgent</t>
        </is>
      </c>
      <c r="I8" s="2" t="inlineStr">
        <is>
          <t>Yes, if safe and privacy-redacted</t>
        </is>
      </c>
      <c r="J8" s="2" t="inlineStr">
        <is>
          <t>Yes</t>
        </is>
      </c>
      <c r="K8" s="2" t="inlineStr">
        <is>
          <t>Yes - safe thermostat/airflow/filter observation only</t>
        </is>
      </c>
      <c r="L8" s="2" t="inlineStr">
        <is>
          <t>No</t>
        </is>
      </c>
      <c r="M8" s="2" t="inlineStr">
        <is>
          <t>Yes</t>
        </is>
      </c>
      <c r="N8" s="2" t="inlineStr">
        <is>
          <t>No</t>
        </is>
      </c>
      <c r="O8" s="2" t="inlineStr">
        <is>
          <t>Supported</t>
        </is>
      </c>
      <c r="P8" s="2" t="inlineStr">
        <is>
          <t>No major gap found for this scenario</t>
        </is>
      </c>
      <c r="Q8" s="2" t="inlineStr">
        <is>
          <t>Ensure staff handoff captures safety flags, access details, photos/video status, possible tenant-caused indicators staff-only, and tentative vendor category.</t>
        </is>
      </c>
      <c r="R8" s="3" t="inlineStr">
        <is>
          <t>Pass</t>
        </is>
      </c>
      <c r="S8" s="2" t="inlineStr">
        <is>
          <t>Medium</t>
        </is>
      </c>
      <c r="T8" s="2" t="inlineStr">
        <is>
          <t>Baseline from classified work-order fields; source category row found in troubleshooting source.</t>
        </is>
      </c>
    </row>
    <row r="9" ht="95" customHeight="1">
      <c r="A9" s="2" t="inlineStr">
        <is>
          <t>TC-008</t>
        </is>
      </c>
      <c r="B9" s="2" t="inlineStr">
        <is>
          <t>HVAC</t>
        </is>
      </c>
      <c r="C9" s="2" t="n">
        <v>86</v>
      </c>
      <c r="D9" s="2" t="inlineStr">
        <is>
          <t>1072-1</t>
        </is>
      </c>
      <c r="E9" s="2" t="inlineStr">
        <is>
          <t>AC is not cooling enough (thermostat is set at 67 but not cooling lower than 74) New unit.</t>
        </is>
      </c>
      <c r="F9" s="2" t="inlineStr">
        <is>
          <t>HVAC</t>
        </is>
      </c>
      <c r="G9" s="2" t="inlineStr">
        <is>
          <t>No cooling / AC failure</t>
        </is>
      </c>
      <c r="H9" s="2" t="inlineStr">
        <is>
          <t>Routine</t>
        </is>
      </c>
      <c r="I9" s="2" t="inlineStr">
        <is>
          <t>Yes, if safe and privacy-redacted</t>
        </is>
      </c>
      <c r="J9" s="2" t="inlineStr">
        <is>
          <t>Yes</t>
        </is>
      </c>
      <c r="K9" s="2" t="inlineStr">
        <is>
          <t>Yes - safe thermostat/airflow/filter observation only</t>
        </is>
      </c>
      <c r="L9" s="2" t="inlineStr">
        <is>
          <t>No</t>
        </is>
      </c>
      <c r="M9" s="2" t="inlineStr">
        <is>
          <t>Yes</t>
        </is>
      </c>
      <c r="N9" s="2" t="inlineStr">
        <is>
          <t>No</t>
        </is>
      </c>
      <c r="O9" s="2" t="inlineStr">
        <is>
          <t>Supported</t>
        </is>
      </c>
      <c r="P9" s="2" t="inlineStr">
        <is>
          <t>No major gap found for this scenario</t>
        </is>
      </c>
      <c r="Q9" s="2" t="inlineStr">
        <is>
          <t>Ensure staff handoff captures safety flags, access details, photos/video status, possible tenant-caused indicators staff-only, and tentative vendor category.</t>
        </is>
      </c>
      <c r="R9" s="3" t="inlineStr">
        <is>
          <t>Pass</t>
        </is>
      </c>
      <c r="S9" s="2" t="inlineStr">
        <is>
          <t>Medium</t>
        </is>
      </c>
      <c r="T9" s="2" t="inlineStr">
        <is>
          <t>Baseline from classified work-order fields; source category row found in troubleshooting source.</t>
        </is>
      </c>
    </row>
    <row r="10" ht="95" customHeight="1">
      <c r="A10" s="2" t="inlineStr">
        <is>
          <t>TC-009</t>
        </is>
      </c>
      <c r="B10" s="2" t="inlineStr">
        <is>
          <t>HVAC</t>
        </is>
      </c>
      <c r="C10" s="2" t="n">
        <v>411</v>
      </c>
      <c r="D10" s="2" t="inlineStr">
        <is>
          <t>1311-2</t>
        </is>
      </c>
      <c r="E10" s="2" t="inlineStr">
        <is>
          <t>AC not cooling upstairs it is set for 68 and the thermostat show 71F and its hot blowing warm air</t>
        </is>
      </c>
      <c r="F10" s="2" t="inlineStr">
        <is>
          <t>HVAC</t>
        </is>
      </c>
      <c r="G10" s="2" t="inlineStr">
        <is>
          <t>No cooling / AC failure</t>
        </is>
      </c>
      <c r="H10" s="2" t="inlineStr">
        <is>
          <t>Routine</t>
        </is>
      </c>
      <c r="I10" s="2" t="inlineStr">
        <is>
          <t>Yes, if safe and privacy-redacted</t>
        </is>
      </c>
      <c r="J10" s="2" t="inlineStr">
        <is>
          <t>Yes</t>
        </is>
      </c>
      <c r="K10" s="2" t="inlineStr">
        <is>
          <t>Yes - safe thermostat/airflow/filter observation only</t>
        </is>
      </c>
      <c r="L10" s="2" t="inlineStr">
        <is>
          <t>No</t>
        </is>
      </c>
      <c r="M10" s="2" t="inlineStr">
        <is>
          <t>Yes</t>
        </is>
      </c>
      <c r="N10" s="2" t="inlineStr">
        <is>
          <t>No</t>
        </is>
      </c>
      <c r="O10" s="2" t="inlineStr">
        <is>
          <t>Supported</t>
        </is>
      </c>
      <c r="P10" s="2" t="inlineStr">
        <is>
          <t>No major gap found for this scenario</t>
        </is>
      </c>
      <c r="Q10" s="2" t="inlineStr">
        <is>
          <t>Ensure staff handoff captures safety flags, access details, photos/video status, possible tenant-caused indicators staff-only, and tentative vendor category.</t>
        </is>
      </c>
      <c r="R10" s="3" t="inlineStr">
        <is>
          <t>Pass</t>
        </is>
      </c>
      <c r="S10" s="2" t="inlineStr">
        <is>
          <t>Medium</t>
        </is>
      </c>
      <c r="T10" s="2" t="inlineStr">
        <is>
          <t>Baseline from classified work-order fields; source category row found in troubleshooting source.</t>
        </is>
      </c>
    </row>
    <row r="11" ht="95" customHeight="1">
      <c r="A11" s="2" t="inlineStr">
        <is>
          <t>TC-010</t>
        </is>
      </c>
      <c r="B11" s="2" t="inlineStr">
        <is>
          <t>HVAC</t>
        </is>
      </c>
      <c r="C11" s="2" t="n">
        <v>628</v>
      </c>
      <c r="D11" s="2" t="inlineStr">
        <is>
          <t>1450-1</t>
        </is>
      </c>
      <c r="E11" s="2" t="inlineStr">
        <is>
          <t>1. AC not cooling, thermostat is not letting me change the temperature. 2. Garage door is not opening (It was off track and the handy man put it in a way that I can't open or close)</t>
        </is>
      </c>
      <c r="F11" s="2" t="inlineStr">
        <is>
          <t>HVAC</t>
        </is>
      </c>
      <c r="G11" s="2" t="inlineStr">
        <is>
          <t>No cooling / AC failure</t>
        </is>
      </c>
      <c r="H11" s="2" t="inlineStr">
        <is>
          <t>Urgent</t>
        </is>
      </c>
      <c r="I11" s="2" t="inlineStr">
        <is>
          <t>Yes, if safe and privacy-redacted</t>
        </is>
      </c>
      <c r="J11" s="2" t="inlineStr">
        <is>
          <t>Yes</t>
        </is>
      </c>
      <c r="K11" s="2" t="inlineStr">
        <is>
          <t>Yes - safe thermostat/airflow/filter observation only</t>
        </is>
      </c>
      <c r="L11" s="2" t="inlineStr">
        <is>
          <t>No</t>
        </is>
      </c>
      <c r="M11" s="2" t="inlineStr">
        <is>
          <t>Yes</t>
        </is>
      </c>
      <c r="N11" s="2" t="inlineStr">
        <is>
          <t>No</t>
        </is>
      </c>
      <c r="O11" s="2" t="inlineStr">
        <is>
          <t>Supported</t>
        </is>
      </c>
      <c r="P11" s="2" t="inlineStr">
        <is>
          <t>No major gap found for this scenario</t>
        </is>
      </c>
      <c r="Q11" s="2" t="inlineStr">
        <is>
          <t>Ensure staff handoff captures safety flags, access details, photos/video status, possible tenant-caused indicators staff-only, and tentative vendor category.</t>
        </is>
      </c>
      <c r="R11" s="3" t="inlineStr">
        <is>
          <t>Pass</t>
        </is>
      </c>
      <c r="S11" s="2" t="inlineStr">
        <is>
          <t>Medium</t>
        </is>
      </c>
      <c r="T11" s="2" t="inlineStr">
        <is>
          <t>Baseline from classified work-order fields; source category row found in troubleshooting source.</t>
        </is>
      </c>
    </row>
    <row r="12" ht="95" customHeight="1">
      <c r="A12" s="2" t="inlineStr">
        <is>
          <t>TC-011</t>
        </is>
      </c>
      <c r="B12" s="2" t="inlineStr">
        <is>
          <t>HVAC</t>
        </is>
      </c>
      <c r="C12" s="2" t="n">
        <v>9</v>
      </c>
      <c r="D12" s="2" t="inlineStr">
        <is>
          <t>1118-1</t>
        </is>
      </c>
      <c r="E12" s="2" t="inlineStr">
        <is>
          <t>AC not working well. Thermostat is set to 70F but the temperature in the house is 80F</t>
        </is>
      </c>
      <c r="F12" s="2" t="inlineStr">
        <is>
          <t>HVAC</t>
        </is>
      </c>
      <c r="G12" s="2" t="inlineStr">
        <is>
          <t>No cooling / AC failure</t>
        </is>
      </c>
      <c r="H12" s="2" t="inlineStr">
        <is>
          <t>Emergency</t>
        </is>
      </c>
      <c r="I12" s="2" t="inlineStr">
        <is>
          <t>Yes, if safe and privacy-redacted</t>
        </is>
      </c>
      <c r="J12" s="2" t="inlineStr">
        <is>
          <t>Yes</t>
        </is>
      </c>
      <c r="K12" s="2" t="inlineStr">
        <is>
          <t>Yes - safe thermostat/airflow/filter observation only</t>
        </is>
      </c>
      <c r="L12" s="2" t="inlineStr">
        <is>
          <t>Yes</t>
        </is>
      </c>
      <c r="M12" s="2" t="inlineStr">
        <is>
          <t>Yes</t>
        </is>
      </c>
      <c r="N12" s="2" t="inlineStr">
        <is>
          <t>No</t>
        </is>
      </c>
      <c r="O12" s="2" t="inlineStr">
        <is>
          <t>Supported</t>
        </is>
      </c>
      <c r="P12" s="2" t="inlineStr">
        <is>
          <t>No major gap found for this scenario</t>
        </is>
      </c>
      <c r="Q12" s="2" t="inlineStr">
        <is>
          <t>Keep emergency/escalation rule; add category-specific screening prompts if absent from the source row.</t>
        </is>
      </c>
      <c r="R12" s="3" t="inlineStr">
        <is>
          <t>Pass</t>
        </is>
      </c>
      <c r="S12" s="4" t="inlineStr">
        <is>
          <t>High</t>
        </is>
      </c>
      <c r="T12" s="2" t="inlineStr">
        <is>
          <t>Baseline from classified work-order fields; source category row found in troubleshooting source.</t>
        </is>
      </c>
    </row>
    <row r="13" ht="95" customHeight="1">
      <c r="A13" s="2" t="inlineStr">
        <is>
          <t>TC-012</t>
        </is>
      </c>
      <c r="B13" s="2" t="inlineStr">
        <is>
          <t>HVAC</t>
        </is>
      </c>
      <c r="C13" s="2" t="n">
        <v>393</v>
      </c>
      <c r="D13" s="2" t="inlineStr">
        <is>
          <t>1258-1</t>
        </is>
      </c>
      <c r="E13" s="2" t="inlineStr">
        <is>
          <t>AC not working, the thermostat is not working. Tenant replaced battery but it did not work.</t>
        </is>
      </c>
      <c r="F13" s="2" t="inlineStr">
        <is>
          <t>HVAC</t>
        </is>
      </c>
      <c r="G13" s="2" t="inlineStr">
        <is>
          <t>No cooling / AC failure</t>
        </is>
      </c>
      <c r="H13" s="2" t="inlineStr">
        <is>
          <t>Emergency</t>
        </is>
      </c>
      <c r="I13" s="2" t="inlineStr">
        <is>
          <t>Yes, if safe and privacy-redacted</t>
        </is>
      </c>
      <c r="J13" s="2" t="inlineStr">
        <is>
          <t>Yes</t>
        </is>
      </c>
      <c r="K13" s="2" t="inlineStr">
        <is>
          <t>Yes - safe thermostat/airflow/filter observation only</t>
        </is>
      </c>
      <c r="L13" s="2" t="inlineStr">
        <is>
          <t>Yes</t>
        </is>
      </c>
      <c r="M13" s="2" t="inlineStr">
        <is>
          <t>Yes</t>
        </is>
      </c>
      <c r="N13" s="2" t="inlineStr">
        <is>
          <t>No</t>
        </is>
      </c>
      <c r="O13" s="2" t="inlineStr">
        <is>
          <t>Supported</t>
        </is>
      </c>
      <c r="P13" s="2" t="inlineStr">
        <is>
          <t>No major gap found for this scenario</t>
        </is>
      </c>
      <c r="Q13" s="2" t="inlineStr">
        <is>
          <t>Keep emergency/escalation rule; add category-specific screening prompts if absent from the source row.</t>
        </is>
      </c>
      <c r="R13" s="3" t="inlineStr">
        <is>
          <t>Pass</t>
        </is>
      </c>
      <c r="S13" s="4" t="inlineStr">
        <is>
          <t>High</t>
        </is>
      </c>
      <c r="T13" s="2" t="inlineStr">
        <is>
          <t>Baseline from classified work-order fields; source category row found in troubleshooting source.</t>
        </is>
      </c>
    </row>
    <row r="14" ht="95" customHeight="1">
      <c r="A14" s="2" t="inlineStr">
        <is>
          <t>TC-013</t>
        </is>
      </c>
      <c r="B14" s="2" t="inlineStr">
        <is>
          <t>Electrical</t>
        </is>
      </c>
      <c r="C14" s="2" t="n">
        <v>269</v>
      </c>
      <c r="D14" s="2" t="inlineStr">
        <is>
          <t>1244-1</t>
        </is>
      </c>
      <c r="E14" s="2" t="inlineStr">
        <is>
          <t>Electrical outlets are not grounded and are making sparks as soon as you try to connect anything this is a safety hazard</t>
        </is>
      </c>
      <c r="F14" s="2" t="inlineStr">
        <is>
          <t>Electrical</t>
        </is>
      </c>
      <c r="G14" s="2" t="inlineStr">
        <is>
          <t>Electrical hazard</t>
        </is>
      </c>
      <c r="H14" s="2" t="inlineStr">
        <is>
          <t>Emergency</t>
        </is>
      </c>
      <c r="I14" s="2" t="inlineStr">
        <is>
          <t>Yes, if safe and privacy-redacted</t>
        </is>
      </c>
      <c r="J14" s="2" t="inlineStr">
        <is>
          <t>Yes</t>
        </is>
      </c>
      <c r="K14" s="2" t="inlineStr">
        <is>
          <t>No - safety screen and escalate; only distance/stop-use guidance</t>
        </is>
      </c>
      <c r="L14" s="2" t="inlineStr">
        <is>
          <t>Yes</t>
        </is>
      </c>
      <c r="M14" s="2" t="inlineStr">
        <is>
          <t>Yes</t>
        </is>
      </c>
      <c r="N14" s="2" t="inlineStr">
        <is>
          <t>Unknown</t>
        </is>
      </c>
      <c r="O14" s="2" t="inlineStr">
        <is>
          <t>Supported</t>
        </is>
      </c>
      <c r="P14" s="2" t="inlineStr">
        <is>
          <t>No major gap found for this scenario</t>
        </is>
      </c>
      <c r="Q14" s="2" t="inlineStr">
        <is>
          <t>Keep emergency/escalation rule; add category-specific screening prompts if absent from the source row.</t>
        </is>
      </c>
      <c r="R14" s="3" t="inlineStr">
        <is>
          <t>Pass</t>
        </is>
      </c>
      <c r="S14" s="4" t="inlineStr">
        <is>
          <t>High</t>
        </is>
      </c>
      <c r="T14" s="2" t="inlineStr">
        <is>
          <t>Baseline from classified work-order fields; source category row found in troubleshooting source.</t>
        </is>
      </c>
    </row>
    <row r="15" ht="95" customHeight="1">
      <c r="A15" s="2" t="inlineStr">
        <is>
          <t>TC-014</t>
        </is>
      </c>
      <c r="B15" s="2" t="inlineStr">
        <is>
          <t>Electrical</t>
        </is>
      </c>
      <c r="C15" s="2" t="n">
        <v>390</v>
      </c>
      <c r="D15" s="2" t="inlineStr">
        <is>
          <t>1384-1</t>
        </is>
      </c>
      <c r="E15" s="2" t="inlineStr">
        <is>
          <t>sparks coming out of an outlet in the kitchen. Power has been turned off sparks coming out of an outlet in the kitchen. Power has been turned off</t>
        </is>
      </c>
      <c r="F15" s="2" t="inlineStr">
        <is>
          <t>Electrical</t>
        </is>
      </c>
      <c r="G15" s="2" t="inlineStr">
        <is>
          <t>Electrical hazard</t>
        </is>
      </c>
      <c r="H15" s="2" t="inlineStr">
        <is>
          <t>Emergency</t>
        </is>
      </c>
      <c r="I15" s="2" t="inlineStr">
        <is>
          <t>Yes, if safe and privacy-redacted</t>
        </is>
      </c>
      <c r="J15" s="2" t="inlineStr">
        <is>
          <t>Yes</t>
        </is>
      </c>
      <c r="K15" s="2" t="inlineStr">
        <is>
          <t>No - safety screen and escalate; only distance/stop-use guidance</t>
        </is>
      </c>
      <c r="L15" s="2" t="inlineStr">
        <is>
          <t>Yes</t>
        </is>
      </c>
      <c r="M15" s="2" t="inlineStr">
        <is>
          <t>Yes</t>
        </is>
      </c>
      <c r="N15" s="2" t="inlineStr">
        <is>
          <t>Unknown</t>
        </is>
      </c>
      <c r="O15" s="2" t="inlineStr">
        <is>
          <t>Supported</t>
        </is>
      </c>
      <c r="P15" s="2" t="inlineStr">
        <is>
          <t>No major gap found for this scenario</t>
        </is>
      </c>
      <c r="Q15" s="2" t="inlineStr">
        <is>
          <t>Keep emergency/escalation rule; add category-specific screening prompts if absent from the source row.</t>
        </is>
      </c>
      <c r="R15" s="3" t="inlineStr">
        <is>
          <t>Pass</t>
        </is>
      </c>
      <c r="S15" s="4" t="inlineStr">
        <is>
          <t>High</t>
        </is>
      </c>
      <c r="T15" s="2" t="inlineStr">
        <is>
          <t>Baseline from classified work-order fields; source category row found in troubleshooting source.</t>
        </is>
      </c>
    </row>
    <row r="16" ht="95" customHeight="1">
      <c r="A16" s="2" t="inlineStr">
        <is>
          <t>TC-015</t>
        </is>
      </c>
      <c r="B16" s="2" t="inlineStr">
        <is>
          <t>Electrical</t>
        </is>
      </c>
      <c r="C16" s="2" t="n">
        <v>163</v>
      </c>
      <c r="D16" s="2" t="inlineStr">
        <is>
          <t>1052-1</t>
        </is>
      </c>
      <c r="E16" s="2" t="inlineStr">
        <is>
          <t>Breaker went off taken out the power to the front porch, stove vent hood, a bedroom light and an outlet. After trying to turn it on not working</t>
        </is>
      </c>
      <c r="F16" s="2" t="inlineStr">
        <is>
          <t>Electrical</t>
        </is>
      </c>
      <c r="G16" s="2" t="inlineStr">
        <is>
          <t>Appliance not working</t>
        </is>
      </c>
      <c r="H16" s="2" t="inlineStr">
        <is>
          <t>Routine</t>
        </is>
      </c>
      <c r="I16" s="2" t="inlineStr">
        <is>
          <t>Yes, if safe and privacy-redacted</t>
        </is>
      </c>
      <c r="J16" s="2" t="inlineStr">
        <is>
          <t>Yes</t>
        </is>
      </c>
      <c r="K16" s="2" t="inlineStr">
        <is>
          <t>Yes - safe power/settings/error-code checks only</t>
        </is>
      </c>
      <c r="L16" s="2" t="inlineStr">
        <is>
          <t>No</t>
        </is>
      </c>
      <c r="M16" s="2" t="inlineStr">
        <is>
          <t>Yes</t>
        </is>
      </c>
      <c r="N16" s="2" t="inlineStr">
        <is>
          <t>Unknown</t>
        </is>
      </c>
      <c r="O16" s="2" t="inlineStr">
        <is>
          <t>Supported</t>
        </is>
      </c>
      <c r="P16" s="2" t="inlineStr">
        <is>
          <t>No major gap found for this scenario</t>
        </is>
      </c>
      <c r="Q16" s="2" t="inlineStr">
        <is>
          <t>Ensure staff handoff captures safety flags, access details, photos/video status, possible tenant-caused indicators staff-only, and tentative vendor category.</t>
        </is>
      </c>
      <c r="R16" s="3" t="inlineStr">
        <is>
          <t>Pass</t>
        </is>
      </c>
      <c r="S16" s="2" t="inlineStr">
        <is>
          <t>Medium</t>
        </is>
      </c>
      <c r="T16" s="2" t="inlineStr">
        <is>
          <t>Baseline from classified work-order fields; source category row found in troubleshooting source.</t>
        </is>
      </c>
    </row>
    <row r="17" ht="95" customHeight="1">
      <c r="A17" s="2" t="inlineStr">
        <is>
          <t>TC-016</t>
        </is>
      </c>
      <c r="B17" s="2" t="inlineStr">
        <is>
          <t>Electrical</t>
        </is>
      </c>
      <c r="C17" s="2" t="n">
        <v>580</v>
      </c>
      <c r="D17" s="2" t="inlineStr">
        <is>
          <t>1660-1</t>
        </is>
      </c>
      <c r="E17" s="2" t="inlineStr">
        <is>
          <t>My AC unit is out again. I flipped the breaker before I left and sparks flew from the unit</t>
        </is>
      </c>
      <c r="F17" s="2" t="inlineStr">
        <is>
          <t>HVAC</t>
        </is>
      </c>
      <c r="G17" s="2" t="inlineStr">
        <is>
          <t>Electrical hazard</t>
        </is>
      </c>
      <c r="H17" s="2" t="inlineStr">
        <is>
          <t>Emergency</t>
        </is>
      </c>
      <c r="I17" s="2" t="inlineStr">
        <is>
          <t>Yes, if safe and privacy-redacted</t>
        </is>
      </c>
      <c r="J17" s="2" t="inlineStr">
        <is>
          <t>Yes</t>
        </is>
      </c>
      <c r="K17" s="2" t="inlineStr">
        <is>
          <t>No - safety screen and escalate; only distance/stop-use guidance</t>
        </is>
      </c>
      <c r="L17" s="2" t="inlineStr">
        <is>
          <t>Yes</t>
        </is>
      </c>
      <c r="M17" s="2" t="inlineStr">
        <is>
          <t>Yes</t>
        </is>
      </c>
      <c r="N17" s="2" t="inlineStr">
        <is>
          <t>No</t>
        </is>
      </c>
      <c r="O17" s="2" t="inlineStr">
        <is>
          <t>Supported</t>
        </is>
      </c>
      <c r="P17" s="2" t="inlineStr">
        <is>
          <t>No major gap found for this scenario</t>
        </is>
      </c>
      <c r="Q17" s="2" t="inlineStr">
        <is>
          <t>Keep emergency/escalation rule; add category-specific screening prompts if absent from the source row.</t>
        </is>
      </c>
      <c r="R17" s="3" t="inlineStr">
        <is>
          <t>Pass</t>
        </is>
      </c>
      <c r="S17" s="4" t="inlineStr">
        <is>
          <t>High</t>
        </is>
      </c>
      <c r="T17" s="2" t="inlineStr">
        <is>
          <t>Baseline from classified work-order fields; source category row found in troubleshooting source.</t>
        </is>
      </c>
    </row>
    <row r="18" ht="95" customHeight="1">
      <c r="A18" s="2" t="inlineStr">
        <is>
          <t>TC-017</t>
        </is>
      </c>
      <c r="B18" s="2" t="inlineStr">
        <is>
          <t>Electrical</t>
        </is>
      </c>
      <c r="C18" s="2" t="n">
        <v>112</v>
      </c>
      <c r="D18" s="2" t="inlineStr">
        <is>
          <t>1143-1</t>
        </is>
      </c>
      <c r="E18" s="2" t="inlineStr">
        <is>
          <t>No Power, Lights not working. Breakers has been flipped still no power</t>
        </is>
      </c>
      <c r="F18" s="2" t="inlineStr">
        <is>
          <t>Electrical</t>
        </is>
      </c>
      <c r="G18" s="2" t="inlineStr">
        <is>
          <t>Appliance not working</t>
        </is>
      </c>
      <c r="H18" s="2" t="inlineStr">
        <is>
          <t>Routine</t>
        </is>
      </c>
      <c r="I18" s="2" t="inlineStr">
        <is>
          <t>Yes, if safe and privacy-redacted</t>
        </is>
      </c>
      <c r="J18" s="2" t="inlineStr">
        <is>
          <t>Yes</t>
        </is>
      </c>
      <c r="K18" s="2" t="inlineStr">
        <is>
          <t>Yes - safe power/settings/error-code checks only</t>
        </is>
      </c>
      <c r="L18" s="2" t="inlineStr">
        <is>
          <t>No</t>
        </is>
      </c>
      <c r="M18" s="2" t="inlineStr">
        <is>
          <t>Yes</t>
        </is>
      </c>
      <c r="N18" s="2" t="inlineStr">
        <is>
          <t>Unknown</t>
        </is>
      </c>
      <c r="O18" s="2" t="inlineStr">
        <is>
          <t>Supported</t>
        </is>
      </c>
      <c r="P18" s="2" t="inlineStr">
        <is>
          <t>No major gap found for this scenario</t>
        </is>
      </c>
      <c r="Q18" s="2" t="inlineStr">
        <is>
          <t>Ensure staff handoff captures safety flags, access details, photos/video status, possible tenant-caused indicators staff-only, and tentative vendor category.</t>
        </is>
      </c>
      <c r="R18" s="3" t="inlineStr">
        <is>
          <t>Pass</t>
        </is>
      </c>
      <c r="S18" s="2" t="inlineStr">
        <is>
          <t>Medium</t>
        </is>
      </c>
      <c r="T18" s="2" t="inlineStr">
        <is>
          <t>Baseline from classified work-order fields; source category row found in troubleshooting source.</t>
        </is>
      </c>
    </row>
    <row r="19" ht="95" customHeight="1">
      <c r="A19" s="2" t="inlineStr">
        <is>
          <t>TC-018</t>
        </is>
      </c>
      <c r="B19" s="2" t="inlineStr">
        <is>
          <t>Appliance</t>
        </is>
      </c>
      <c r="C19" s="2" t="n">
        <v>960</v>
      </c>
      <c r="D19" s="2" t="inlineStr">
        <is>
          <t>1821-1</t>
        </is>
      </c>
      <c r="E19" s="2" t="inlineStr">
        <is>
          <t>1. Toilet handle does not flush 2. Garbage disposal is jammed 3. Dishwasher is not working (Can you just check )</t>
        </is>
      </c>
      <c r="F19" s="2" t="inlineStr">
        <is>
          <t>Plumbing</t>
        </is>
      </c>
      <c r="G19" s="2" t="inlineStr">
        <is>
          <t>Appliance not working</t>
        </is>
      </c>
      <c r="H19" s="2" t="inlineStr">
        <is>
          <t>Urgent</t>
        </is>
      </c>
      <c r="I19" s="2" t="inlineStr">
        <is>
          <t>Yes, if safe and privacy-redacted</t>
        </is>
      </c>
      <c r="J19" s="2" t="inlineStr">
        <is>
          <t>Yes</t>
        </is>
      </c>
      <c r="K19" s="2" t="inlineStr">
        <is>
          <t>Yes - safe power/settings/error-code checks only</t>
        </is>
      </c>
      <c r="L19" s="2" t="inlineStr">
        <is>
          <t>No</t>
        </is>
      </c>
      <c r="M19" s="2" t="inlineStr">
        <is>
          <t>Yes</t>
        </is>
      </c>
      <c r="N19" s="2" t="inlineStr">
        <is>
          <t>Yes</t>
        </is>
      </c>
      <c r="O19" s="2" t="inlineStr">
        <is>
          <t>Supported</t>
        </is>
      </c>
      <c r="P19" s="2" t="inlineStr">
        <is>
          <t>No major gap found for this scenario</t>
        </is>
      </c>
      <c r="Q19" s="2" t="inlineStr">
        <is>
          <t>Ensure staff handoff captures safety flags, access details, photos/video status, possible tenant-caused indicators staff-only, and tentative vendor category.</t>
        </is>
      </c>
      <c r="R19" s="3" t="inlineStr">
        <is>
          <t>Pass</t>
        </is>
      </c>
      <c r="S19" s="2" t="inlineStr">
        <is>
          <t>Medium</t>
        </is>
      </c>
      <c r="T19" s="2" t="inlineStr">
        <is>
          <t>Baseline from classified work-order fields; source category row found in troubleshooting source.</t>
        </is>
      </c>
    </row>
    <row r="20" ht="95" customHeight="1">
      <c r="A20" s="2" t="inlineStr">
        <is>
          <t>TC-019</t>
        </is>
      </c>
      <c r="B20" s="2" t="inlineStr">
        <is>
          <t>Appliance</t>
        </is>
      </c>
      <c r="C20" s="2" t="n">
        <v>17</v>
      </c>
      <c r="D20" s="2" t="inlineStr">
        <is>
          <t>977-1</t>
        </is>
      </c>
      <c r="E20" s="2" t="inlineStr">
        <is>
          <t>Dishwasher not working Bottom trim coming off in multiple places Needs repainting in multiple places</t>
        </is>
      </c>
      <c r="F20" s="2" t="inlineStr">
        <is>
          <t>Appliance</t>
        </is>
      </c>
      <c r="G20" s="2" t="inlineStr">
        <is>
          <t>Appliance not working</t>
        </is>
      </c>
      <c r="H20" s="2" t="inlineStr">
        <is>
          <t>Routine</t>
        </is>
      </c>
      <c r="I20" s="2" t="inlineStr">
        <is>
          <t>Yes, if safe and privacy-redacted</t>
        </is>
      </c>
      <c r="J20" s="2" t="inlineStr">
        <is>
          <t>Yes</t>
        </is>
      </c>
      <c r="K20" s="2" t="inlineStr">
        <is>
          <t>Yes - safe power/settings/error-code checks only</t>
        </is>
      </c>
      <c r="L20" s="2" t="inlineStr">
        <is>
          <t>No</t>
        </is>
      </c>
      <c r="M20" s="2" t="inlineStr">
        <is>
          <t>No</t>
        </is>
      </c>
      <c r="N20" s="2" t="inlineStr">
        <is>
          <t>No</t>
        </is>
      </c>
      <c r="O20" s="2" t="inlineStr">
        <is>
          <t>Supported</t>
        </is>
      </c>
      <c r="P20" s="2" t="inlineStr">
        <is>
          <t>No major gap found for this scenario</t>
        </is>
      </c>
      <c r="Q20" s="2" t="inlineStr">
        <is>
          <t>No correction required beyond maintaining source alignment and periodic production sampling.</t>
        </is>
      </c>
      <c r="R20" s="3" t="inlineStr">
        <is>
          <t>Pass</t>
        </is>
      </c>
      <c r="S20" s="2" t="inlineStr">
        <is>
          <t>Low</t>
        </is>
      </c>
      <c r="T20" s="2" t="inlineStr">
        <is>
          <t>Baseline from classified work-order fields; source category row found in troubleshooting source.</t>
        </is>
      </c>
    </row>
    <row r="21" ht="95" customHeight="1">
      <c r="A21" s="2" t="inlineStr">
        <is>
          <t>TC-020</t>
        </is>
      </c>
      <c r="B21" s="2" t="inlineStr">
        <is>
          <t>Appliance</t>
        </is>
      </c>
      <c r="C21" s="2" t="n">
        <v>28</v>
      </c>
      <c r="D21" s="2" t="inlineStr">
        <is>
          <t>1121-1</t>
        </is>
      </c>
      <c r="E21" s="2" t="inlineStr">
        <is>
          <t>Dishwasher stopped working Dishwasher stopped working</t>
        </is>
      </c>
      <c r="F21" s="2" t="inlineStr">
        <is>
          <t>Appliance</t>
        </is>
      </c>
      <c r="G21" s="2" t="inlineStr">
        <is>
          <t>Appliance not working</t>
        </is>
      </c>
      <c r="H21" s="2" t="inlineStr">
        <is>
          <t>Routine</t>
        </is>
      </c>
      <c r="I21" s="2" t="inlineStr">
        <is>
          <t>Yes, if safe and privacy-redacted</t>
        </is>
      </c>
      <c r="J21" s="2" t="inlineStr">
        <is>
          <t>Yes</t>
        </is>
      </c>
      <c r="K21" s="2" t="inlineStr">
        <is>
          <t>Yes - safe power/settings/error-code checks only</t>
        </is>
      </c>
      <c r="L21" s="2" t="inlineStr">
        <is>
          <t>No</t>
        </is>
      </c>
      <c r="M21" s="2" t="inlineStr">
        <is>
          <t>No</t>
        </is>
      </c>
      <c r="N21" s="2" t="inlineStr">
        <is>
          <t>No</t>
        </is>
      </c>
      <c r="O21" s="2" t="inlineStr">
        <is>
          <t>Supported</t>
        </is>
      </c>
      <c r="P21" s="2" t="inlineStr">
        <is>
          <t>No major gap found for this scenario</t>
        </is>
      </c>
      <c r="Q21" s="2" t="inlineStr">
        <is>
          <t>No correction required beyond maintaining source alignment and periodic production sampling.</t>
        </is>
      </c>
      <c r="R21" s="3" t="inlineStr">
        <is>
          <t>Pass</t>
        </is>
      </c>
      <c r="S21" s="2" t="inlineStr">
        <is>
          <t>Low</t>
        </is>
      </c>
      <c r="T21" s="2" t="inlineStr">
        <is>
          <t>Baseline from classified work-order fields; source category row found in troubleshooting source.</t>
        </is>
      </c>
    </row>
    <row r="22" ht="95" customHeight="1">
      <c r="A22" s="2" t="inlineStr">
        <is>
          <t>TC-021</t>
        </is>
      </c>
      <c r="B22" s="2" t="inlineStr">
        <is>
          <t>Appliance</t>
        </is>
      </c>
      <c r="C22" s="2" t="n">
        <v>255</v>
      </c>
      <c r="D22" s="2" t="inlineStr">
        <is>
          <t>1185-1</t>
        </is>
      </c>
      <c r="E22" s="2" t="inlineStr">
        <is>
          <t>1. New dishwasher arrived but was not installed. Valve need replacement. 2. Garbage disposer is not working</t>
        </is>
      </c>
      <c r="F22" s="2" t="inlineStr">
        <is>
          <t>Appliance</t>
        </is>
      </c>
      <c r="G22" s="2" t="inlineStr">
        <is>
          <t>Appliance not working</t>
        </is>
      </c>
      <c r="H22" s="2" t="inlineStr">
        <is>
          <t>Routine</t>
        </is>
      </c>
      <c r="I22" s="2" t="inlineStr">
        <is>
          <t>Yes, if safe and privacy-redacted</t>
        </is>
      </c>
      <c r="J22" s="2" t="inlineStr">
        <is>
          <t>Yes</t>
        </is>
      </c>
      <c r="K22" s="2" t="inlineStr">
        <is>
          <t>Yes - safe power/settings/error-code checks only</t>
        </is>
      </c>
      <c r="L22" s="2" t="inlineStr">
        <is>
          <t>No</t>
        </is>
      </c>
      <c r="M22" s="2" t="inlineStr">
        <is>
          <t>No</t>
        </is>
      </c>
      <c r="N22" s="2" t="inlineStr">
        <is>
          <t>No</t>
        </is>
      </c>
      <c r="O22" s="2" t="inlineStr">
        <is>
          <t>Supported</t>
        </is>
      </c>
      <c r="P22" s="2" t="inlineStr">
        <is>
          <t>No major gap found for this scenario</t>
        </is>
      </c>
      <c r="Q22" s="2" t="inlineStr">
        <is>
          <t>No correction required beyond maintaining source alignment and periodic production sampling.</t>
        </is>
      </c>
      <c r="R22" s="3" t="inlineStr">
        <is>
          <t>Pass</t>
        </is>
      </c>
      <c r="S22" s="2" t="inlineStr">
        <is>
          <t>Low</t>
        </is>
      </c>
      <c r="T22" s="2" t="inlineStr">
        <is>
          <t>Baseline from classified work-order fields; source category row found in troubleshooting source.</t>
        </is>
      </c>
    </row>
    <row r="23" ht="95" customHeight="1">
      <c r="A23" s="2" t="inlineStr">
        <is>
          <t>TC-022</t>
        </is>
      </c>
      <c r="B23" s="2" t="inlineStr">
        <is>
          <t>Appliance</t>
        </is>
      </c>
      <c r="C23" s="2" t="n">
        <v>491</v>
      </c>
      <c r="D23" s="2" t="inlineStr">
        <is>
          <t>1613-1</t>
        </is>
      </c>
      <c r="E23" s="2" t="inlineStr">
        <is>
          <t>Dishwasher is over flowing like it did the last time. Ive stop using it for now. The same thing happened the last time, the gentleman came out. He said that this dishwasher was hooked up incorrectly. So there was a chance, it would happen again</t>
        </is>
      </c>
      <c r="F23" s="2" t="inlineStr">
        <is>
          <t>Appliance</t>
        </is>
      </c>
      <c r="G23" s="2" t="inlineStr">
        <is>
          <t>Appliance issue</t>
        </is>
      </c>
      <c r="H23" s="2" t="inlineStr">
        <is>
          <t>Routine</t>
        </is>
      </c>
      <c r="I23" s="2" t="inlineStr">
        <is>
          <t>Yes, if safe and privacy-redacted</t>
        </is>
      </c>
      <c r="J23" s="2" t="inlineStr">
        <is>
          <t>Yes</t>
        </is>
      </c>
      <c r="K23" s="2" t="inlineStr">
        <is>
          <t>Yes - safe power/settings/error-code checks only</t>
        </is>
      </c>
      <c r="L23" s="2" t="inlineStr">
        <is>
          <t>No</t>
        </is>
      </c>
      <c r="M23" s="2" t="inlineStr">
        <is>
          <t>No</t>
        </is>
      </c>
      <c r="N23" s="2" t="inlineStr">
        <is>
          <t>No</t>
        </is>
      </c>
      <c r="O23" s="2" t="inlineStr">
        <is>
          <t>Supported</t>
        </is>
      </c>
      <c r="P23" s="2" t="inlineStr">
        <is>
          <t>No major gap found for this scenario</t>
        </is>
      </c>
      <c r="Q23" s="2" t="inlineStr">
        <is>
          <t>No correction required beyond maintaining source alignment and periodic production sampling.</t>
        </is>
      </c>
      <c r="R23" s="3" t="inlineStr">
        <is>
          <t>Pass</t>
        </is>
      </c>
      <c r="S23" s="2" t="inlineStr">
        <is>
          <t>Low</t>
        </is>
      </c>
      <c r="T23" s="2" t="inlineStr">
        <is>
          <t>Baseline from classified work-order fields; source category row found in troubleshooting source.</t>
        </is>
      </c>
    </row>
    <row r="24" ht="95" customHeight="1">
      <c r="A24" s="2" t="inlineStr">
        <is>
          <t>TC-023</t>
        </is>
      </c>
      <c r="B24" s="2" t="inlineStr">
        <is>
          <t>Door/lock/garage</t>
        </is>
      </c>
      <c r="C24" s="2" t="n">
        <v>1027</v>
      </c>
      <c r="D24" s="2" t="inlineStr">
        <is>
          <t>1914-1</t>
        </is>
      </c>
      <c r="E24" s="2" t="inlineStr">
        <is>
          <t>1. The built-in dishwasher is currently non-operational.- Bought and installed a new one 2. Exposed Sewer / Drain Access (Backyard) 3. The gas line serving the living room fireplace does not have a visible or accessible shut-off valve.- tech showed 4. The lock on the sliding glass door is broken and non-functional, and the door is currently being held closed with a damaged metal rod rather than a proper locking mechanism.- fixed 5. The large ceiling fan is partially detached, hanging and does not operate. Full removal and proper capping of wiring. 6. The toilet is unstable and shifts when weight is applied, indicating improper installation or a compromised seal. Replacement of the toilet to ensure proper stability, prevent leaks or subfloor damage, and ensure tenant safety. 7. The bypass closet door is hanging off and cannot be restored through adjustment alone. The track and hardware appear heavily painted over and worn, preventing proper operation and is unsafe to continue to suspend</t>
        </is>
      </c>
      <c r="F24" s="2" t="inlineStr">
        <is>
          <t>HVAC</t>
        </is>
      </c>
      <c r="G24" s="2" t="inlineStr">
        <is>
          <t>Active leak / water intrusion</t>
        </is>
      </c>
      <c r="H24" s="2" t="inlineStr">
        <is>
          <t>Emergency</t>
        </is>
      </c>
      <c r="I24" s="2" t="inlineStr">
        <is>
          <t>No initially - do not delay safety action; optional later only if safe</t>
        </is>
      </c>
      <c r="J24" s="2" t="inlineStr">
        <is>
          <t>Yes</t>
        </is>
      </c>
      <c r="K24" s="2" t="inlineStr">
        <is>
          <t>No - safety screen and escalate; only distance/stop-use guidance</t>
        </is>
      </c>
      <c r="L24" s="2" t="inlineStr">
        <is>
          <t>Yes</t>
        </is>
      </c>
      <c r="M24" s="2" t="inlineStr">
        <is>
          <t>Yes</t>
        </is>
      </c>
      <c r="N24" s="2" t="inlineStr">
        <is>
          <t>Yes</t>
        </is>
      </c>
      <c r="O24" s="2" t="inlineStr">
        <is>
          <t>Conflict / needs correction</t>
        </is>
      </c>
      <c r="P24" s="2" t="inlineStr">
        <is>
          <t>Emergency-service instruction conflict across source files</t>
        </is>
      </c>
      <c r="Q24" s="2" t="inlineStr">
        <is>
          <t>Reconcile guardrails vs constraints/rubric: choose one approved emergency-services instruction and apply consistently for gas/fire/smoke/CO/immediate-danger cases.</t>
        </is>
      </c>
      <c r="R24" s="5" t="inlineStr">
        <is>
          <t>Fail</t>
        </is>
      </c>
      <c r="S24" s="4" t="inlineStr">
        <is>
          <t>High</t>
        </is>
      </c>
      <c r="T24" s="2" t="inlineStr">
        <is>
          <t>Baseline from classified work-order fields; source category row found in troubleshooting source.</t>
        </is>
      </c>
    </row>
    <row r="25" ht="95" customHeight="1">
      <c r="A25" s="2" t="inlineStr">
        <is>
          <t>TC-024</t>
        </is>
      </c>
      <c r="B25" s="2" t="inlineStr">
        <is>
          <t>Door/lock/garage</t>
        </is>
      </c>
      <c r="C25" s="2" t="n">
        <v>260</v>
      </c>
      <c r="D25" s="2" t="inlineStr">
        <is>
          <t>1206-1</t>
        </is>
      </c>
      <c r="E25" s="2" t="inlineStr">
        <is>
          <t>The other (old) tension spring on the garage door broke today. I cannot lift the door. Please schedule with me the repair so I can secure my dog</t>
        </is>
      </c>
      <c r="F25" s="2" t="inlineStr">
        <is>
          <t>Door/Lock/Garage</t>
        </is>
      </c>
      <c r="G25" s="2" t="inlineStr">
        <is>
          <t>Door / lock security issue</t>
        </is>
      </c>
      <c r="H25" s="2" t="inlineStr">
        <is>
          <t>Urgent</t>
        </is>
      </c>
      <c r="I25" s="2" t="inlineStr">
        <is>
          <t>Yes, if safe and privacy-redacted</t>
        </is>
      </c>
      <c r="J25" s="2" t="inlineStr">
        <is>
          <t>Yes</t>
        </is>
      </c>
      <c r="K25" s="2" t="inlineStr">
        <is>
          <t>Limited - describe issue; do not force/bypass hardware</t>
        </is>
      </c>
      <c r="L25" s="2" t="inlineStr">
        <is>
          <t>No</t>
        </is>
      </c>
      <c r="M25" s="2" t="inlineStr">
        <is>
          <t>Yes</t>
        </is>
      </c>
      <c r="N25" s="2" t="inlineStr">
        <is>
          <t>Yes</t>
        </is>
      </c>
      <c r="O25" s="2" t="inlineStr">
        <is>
          <t>Supported</t>
        </is>
      </c>
      <c r="P25" s="2" t="inlineStr">
        <is>
          <t>No major gap found for this scenario</t>
        </is>
      </c>
      <c r="Q25" s="2" t="inlineStr">
        <is>
          <t>Ensure staff handoff captures safety flags, access details, photos/video status, possible tenant-caused indicators staff-only, and tentative vendor category.</t>
        </is>
      </c>
      <c r="R25" s="3" t="inlineStr">
        <is>
          <t>Pass</t>
        </is>
      </c>
      <c r="S25" s="2" t="inlineStr">
        <is>
          <t>Medium</t>
        </is>
      </c>
      <c r="T25" s="2" t="inlineStr">
        <is>
          <t>Baseline from classified work-order fields; source category row found in troubleshooting source.</t>
        </is>
      </c>
    </row>
    <row r="26" ht="95" customHeight="1">
      <c r="A26" s="2" t="inlineStr">
        <is>
          <t>TC-025</t>
        </is>
      </c>
      <c r="B26" s="2" t="inlineStr">
        <is>
          <t>Door/lock/garage</t>
        </is>
      </c>
      <c r="C26" s="2" t="n">
        <v>821</v>
      </c>
      <c r="D26" s="2" t="inlineStr">
        <is>
          <t>1854-1</t>
        </is>
      </c>
      <c r="E26" s="2" t="inlineStr">
        <is>
          <t>1. Damaged soffit 2. Lawn (front?) 3. No Automatic garage opener 4. Garage sheetrock ? Missing sheetrock 5. oil stain on garage floor 6. Trash next to garage and in the back of it 7. damaged driveway &amp; sidewalk to back door ** 8. Back door screen is torn, and door screw came out 9. door sealing need repair 10. Painting: walls by front door, entry closet ,living room, baseboards (cracked, not attached to wall) ,Breakfast area walls /holes and behind back door ,as well as back door need paint,paint laundry room, hallway by the front door&amp; baseboards,bedroom 1 tile near front door scratched 11. Plugs cover dirty with paint or missing 12. Fireplaces need paint &amp; to be secure? 13. Kitchen pantry need paint and repair door - it does not close all the way 14. Kitchen sink faucet when water is turned on , the water come out of the hose not the faucet? 15. Stove need replacement (tenant replaced the dripping pans) 16. Counter top bad need paint or replacement 17. tile under cabinets need replac</t>
        </is>
      </c>
      <c r="F26" s="2" t="inlineStr">
        <is>
          <t>Plumbing</t>
        </is>
      </c>
      <c r="G26" s="2" t="inlineStr">
        <is>
          <t>Landscape / tree / irrigation</t>
        </is>
      </c>
      <c r="H26" s="2" t="inlineStr">
        <is>
          <t>Routine</t>
        </is>
      </c>
      <c r="I26" s="2" t="inlineStr">
        <is>
          <t>No initially - do not delay safety action; optional later only if safe</t>
        </is>
      </c>
      <c r="J26" s="2" t="inlineStr">
        <is>
          <t>Yes</t>
        </is>
      </c>
      <c r="K26" s="2" t="inlineStr">
        <is>
          <t>No - safety screen and escalate; only distance/stop-use guidance</t>
        </is>
      </c>
      <c r="L26" s="2" t="inlineStr">
        <is>
          <t>Yes</t>
        </is>
      </c>
      <c r="M26" s="2" t="inlineStr">
        <is>
          <t>Yes</t>
        </is>
      </c>
      <c r="N26" s="2" t="inlineStr">
        <is>
          <t>Unknown</t>
        </is>
      </c>
      <c r="O26" s="2" t="inlineStr">
        <is>
          <t>Conflict / needs correction</t>
        </is>
      </c>
      <c r="P26" s="2" t="inlineStr">
        <is>
          <t>Emergency-service instruction conflict across source files</t>
        </is>
      </c>
      <c r="Q26" s="2" t="inlineStr">
        <is>
          <t>Reconcile guardrails vs constraints/rubric: choose one approved emergency-services instruction and apply consistently for gas/fire/smoke/CO/immediate-danger cases.</t>
        </is>
      </c>
      <c r="R26" s="5" t="inlineStr">
        <is>
          <t>Fail</t>
        </is>
      </c>
      <c r="S26" s="4" t="inlineStr">
        <is>
          <t>High</t>
        </is>
      </c>
      <c r="T26" s="2" t="inlineStr">
        <is>
          <t>Baseline from classified work-order fields; source category row found in troubleshooting source.</t>
        </is>
      </c>
    </row>
    <row r="27" ht="95" customHeight="1">
      <c r="A27" s="2" t="inlineStr">
        <is>
          <t>TC-026</t>
        </is>
      </c>
      <c r="B27" s="2" t="inlineStr">
        <is>
          <t>Door/lock/garage</t>
        </is>
      </c>
      <c r="C27" s="2" t="n">
        <v>79</v>
      </c>
      <c r="D27" s="2" t="inlineStr">
        <is>
          <t>1011-1</t>
        </is>
      </c>
      <c r="E27" s="2" t="inlineStr">
        <is>
          <t>5207 Ridge Turn dr Houston Make Ready Code:1947 There was no electricity in the house 1. Property needs powerwash 2. property need detail cleaning (need new black dripping pans) and AC registers need cleaning or replacing 3. Replace 2 AC filters and replace smog alarm batteries &amp; few door stops, few electric switch covers 4. Bathroom 2 sink damaged tiles are off 5. Property need painting all walls (few areas need sheetrock to fix: Hall , master bedroom behind the door, ) and few doors &amp; garage(also need some sheetrock work in some of the walls Replace broken blinds- bedroom 2 living room , 6. Living room back door does not lock- need arm lock 7. Garage door is off track - 8. Fence- 2 sides need some pickets and its bent (neighbor's dog got into our property yard</t>
        </is>
      </c>
      <c r="F27" s="2" t="inlineStr">
        <is>
          <t>HVAC</t>
        </is>
      </c>
      <c r="G27" s="2" t="inlineStr">
        <is>
          <t>Door / lock security issue</t>
        </is>
      </c>
      <c r="H27" s="2" t="inlineStr">
        <is>
          <t>Emergency</t>
        </is>
      </c>
      <c r="I27" s="2" t="inlineStr">
        <is>
          <t>Yes, if safe and privacy-redacted</t>
        </is>
      </c>
      <c r="J27" s="2" t="inlineStr">
        <is>
          <t>Yes</t>
        </is>
      </c>
      <c r="K27" s="2" t="inlineStr">
        <is>
          <t>Limited - describe issue; do not force/bypass hardware</t>
        </is>
      </c>
      <c r="L27" s="2" t="inlineStr">
        <is>
          <t>Yes</t>
        </is>
      </c>
      <c r="M27" s="2" t="inlineStr">
        <is>
          <t>Yes</t>
        </is>
      </c>
      <c r="N27" s="2" t="inlineStr">
        <is>
          <t>Yes</t>
        </is>
      </c>
      <c r="O27" s="2" t="inlineStr">
        <is>
          <t>Supported</t>
        </is>
      </c>
      <c r="P27" s="2" t="inlineStr">
        <is>
          <t>No major gap found for this scenario</t>
        </is>
      </c>
      <c r="Q27" s="2" t="inlineStr">
        <is>
          <t>Keep emergency/escalation rule; add category-specific screening prompts if absent from the source row.</t>
        </is>
      </c>
      <c r="R27" s="3" t="inlineStr">
        <is>
          <t>Pass</t>
        </is>
      </c>
      <c r="S27" s="4" t="inlineStr">
        <is>
          <t>High</t>
        </is>
      </c>
      <c r="T27" s="2" t="inlineStr">
        <is>
          <t>Baseline from classified work-order fields; source category row found in troubleshooting source.</t>
        </is>
      </c>
    </row>
    <row r="28" ht="95" customHeight="1">
      <c r="A28" s="2" t="inlineStr">
        <is>
          <t>TC-027</t>
        </is>
      </c>
      <c r="B28" s="2" t="inlineStr">
        <is>
          <t>Door/lock/garage</t>
        </is>
      </c>
      <c r="C28" s="2" t="n">
        <v>159</v>
      </c>
      <c r="D28" s="2" t="inlineStr">
        <is>
          <t>1124-1</t>
        </is>
      </c>
      <c r="E28" s="2" t="inlineStr">
        <is>
          <t>Code:2830 1. Replace AC filter (Tenant left one in the garage) smog alarm batteries, missing 3 light bulbs check door stops 2. Need to fix door frame lock area - lock does not work well 3. front of the house can use power wash 4. all bedrooms doors are damaged - Need to glue 5. Metal gate is drugging on the cement &amp; Fence gate needs adjustment &amp; Fence in backyard on the left side is bent - can we support it. 6. Garage has a hole in the ceiling and on the wall &amp; has water damage stain. Inspect house ceiling/ roof for leaks 7. The Cabinet door doesn't close well in the kitchen under the sink. The medicine cabinet needs a magnet 8. stain under the sink Washer and dryer connection leaking</t>
        </is>
      </c>
      <c r="F28" s="2" t="inlineStr">
        <is>
          <t>HVAC</t>
        </is>
      </c>
      <c r="G28" s="2" t="inlineStr">
        <is>
          <t>Active leak / water intrusion</t>
        </is>
      </c>
      <c r="H28" s="2" t="inlineStr">
        <is>
          <t>Emergency</t>
        </is>
      </c>
      <c r="I28" s="2" t="inlineStr">
        <is>
          <t>Yes, if safe and privacy-redacted</t>
        </is>
      </c>
      <c r="J28" s="2" t="inlineStr">
        <is>
          <t>Yes</t>
        </is>
      </c>
      <c r="K28" s="2" t="inlineStr">
        <is>
          <t>Yes - safe observation/documentation only</t>
        </is>
      </c>
      <c r="L28" s="2" t="inlineStr">
        <is>
          <t>Yes</t>
        </is>
      </c>
      <c r="M28" s="2" t="inlineStr">
        <is>
          <t>Yes</t>
        </is>
      </c>
      <c r="N28" s="2" t="inlineStr">
        <is>
          <t>No</t>
        </is>
      </c>
      <c r="O28" s="2" t="inlineStr">
        <is>
          <t>Supported</t>
        </is>
      </c>
      <c r="P28" s="2" t="inlineStr">
        <is>
          <t>No major gap found for this scenario</t>
        </is>
      </c>
      <c r="Q28" s="2" t="inlineStr">
        <is>
          <t>Keep emergency/escalation rule; add category-specific screening prompts if absent from the source row.</t>
        </is>
      </c>
      <c r="R28" s="3" t="inlineStr">
        <is>
          <t>Pass</t>
        </is>
      </c>
      <c r="S28" s="4" t="inlineStr">
        <is>
          <t>High</t>
        </is>
      </c>
      <c r="T28" s="2" t="inlineStr">
        <is>
          <t>Baseline from classified work-order fields; source category row found in troubleshooting source.</t>
        </is>
      </c>
    </row>
    <row r="29" ht="95" customHeight="1">
      <c r="A29" s="2" t="inlineStr">
        <is>
          <t>TC-028</t>
        </is>
      </c>
      <c r="B29" s="2" t="inlineStr">
        <is>
          <t>Roof/exterior</t>
        </is>
      </c>
      <c r="C29" s="2" t="n">
        <v>514</v>
      </c>
      <c r="D29" s="2" t="inlineStr">
        <is>
          <t>1538-1</t>
        </is>
      </c>
      <c r="E29" s="2" t="inlineStr">
        <is>
          <t>Hurricane Beryl - Just wanted to send pictures of the storm effects. Fence was knocked down and there are roof shingles on the ground</t>
        </is>
      </c>
      <c r="F29" s="2" t="inlineStr">
        <is>
          <t>Roof/Exterior</t>
        </is>
      </c>
      <c r="G29" s="2" t="inlineStr">
        <is>
          <t>Roof / exterior repair</t>
        </is>
      </c>
      <c r="H29" s="2" t="inlineStr">
        <is>
          <t>Routine</t>
        </is>
      </c>
      <c r="I29" s="2" t="inlineStr">
        <is>
          <t>Yes, if safe and privacy-redacted</t>
        </is>
      </c>
      <c r="J29" s="2" t="inlineStr">
        <is>
          <t>Yes</t>
        </is>
      </c>
      <c r="K29" s="2" t="inlineStr">
        <is>
          <t>Yes - safe observation/documentation only</t>
        </is>
      </c>
      <c r="L29" s="2" t="inlineStr">
        <is>
          <t>No</t>
        </is>
      </c>
      <c r="M29" s="2" t="inlineStr">
        <is>
          <t>No</t>
        </is>
      </c>
      <c r="N29" s="2" t="inlineStr">
        <is>
          <t>No</t>
        </is>
      </c>
      <c r="O29" s="2" t="inlineStr">
        <is>
          <t>Supported</t>
        </is>
      </c>
      <c r="P29" s="2" t="inlineStr">
        <is>
          <t>No major gap found for this scenario</t>
        </is>
      </c>
      <c r="Q29" s="2" t="inlineStr">
        <is>
          <t>No correction required beyond maintaining source alignment and periodic production sampling.</t>
        </is>
      </c>
      <c r="R29" s="3" t="inlineStr">
        <is>
          <t>Pass</t>
        </is>
      </c>
      <c r="S29" s="2" t="inlineStr">
        <is>
          <t>Low</t>
        </is>
      </c>
      <c r="T29" s="2" t="inlineStr">
        <is>
          <t>Baseline from classified work-order fields; source category row found in troubleshooting source.</t>
        </is>
      </c>
    </row>
    <row r="30" ht="95" customHeight="1">
      <c r="A30" s="2" t="inlineStr">
        <is>
          <t>TC-029</t>
        </is>
      </c>
      <c r="B30" s="2" t="inlineStr">
        <is>
          <t>Roof/exterior</t>
        </is>
      </c>
      <c r="C30" s="2" t="n">
        <v>592</v>
      </c>
      <c r="D30" s="2" t="inlineStr">
        <is>
          <t>1532-1</t>
        </is>
      </c>
      <c r="E30" s="2" t="inlineStr">
        <is>
          <t>Hurricane Beryl - pieces of the roof are flying off and landing in the yard. I have attached a picture of what I can see without getting wet. Part of the fence was also damaged during the storm.</t>
        </is>
      </c>
      <c r="F30" s="2" t="inlineStr">
        <is>
          <t>Landscaping/Irrigation</t>
        </is>
      </c>
      <c r="G30" s="2" t="inlineStr">
        <is>
          <t>Roof / exterior repair</t>
        </is>
      </c>
      <c r="H30" s="2" t="inlineStr">
        <is>
          <t>Routine</t>
        </is>
      </c>
      <c r="I30" s="2" t="inlineStr">
        <is>
          <t>Yes, if safe and privacy-redacted</t>
        </is>
      </c>
      <c r="J30" s="2" t="inlineStr">
        <is>
          <t>Yes</t>
        </is>
      </c>
      <c r="K30" s="2" t="inlineStr">
        <is>
          <t>Yes - safe observation/documentation only</t>
        </is>
      </c>
      <c r="L30" s="2" t="inlineStr">
        <is>
          <t>No</t>
        </is>
      </c>
      <c r="M30" s="2" t="inlineStr">
        <is>
          <t>No</t>
        </is>
      </c>
      <c r="N30" s="2" t="inlineStr">
        <is>
          <t>No</t>
        </is>
      </c>
      <c r="O30" s="2" t="inlineStr">
        <is>
          <t>Supported</t>
        </is>
      </c>
      <c r="P30" s="2" t="inlineStr">
        <is>
          <t>No major gap found for this scenario</t>
        </is>
      </c>
      <c r="Q30" s="2" t="inlineStr">
        <is>
          <t>No correction required beyond maintaining source alignment and periodic production sampling.</t>
        </is>
      </c>
      <c r="R30" s="3" t="inlineStr">
        <is>
          <t>Pass</t>
        </is>
      </c>
      <c r="S30" s="2" t="inlineStr">
        <is>
          <t>Low</t>
        </is>
      </c>
      <c r="T30" s="2" t="inlineStr">
        <is>
          <t>Baseline from classified work-order fields; source category row found in troubleshooting source.</t>
        </is>
      </c>
    </row>
    <row r="31" ht="95" customHeight="1">
      <c r="A31" s="2" t="inlineStr">
        <is>
          <t>TC-030</t>
        </is>
      </c>
      <c r="B31" s="2" t="inlineStr">
        <is>
          <t>Roof/exterior</t>
        </is>
      </c>
      <c r="C31" s="2" t="n">
        <v>626</v>
      </c>
      <c r="D31" s="2" t="inlineStr">
        <is>
          <t>1659-1</t>
        </is>
      </c>
      <c r="E31" s="2" t="inlineStr">
        <is>
          <t>Siding, next to roof part fell down. Fence in the back need repair replacement.</t>
        </is>
      </c>
      <c r="F31" s="2" t="inlineStr">
        <is>
          <t>Roof/Exterior</t>
        </is>
      </c>
      <c r="G31" s="2" t="inlineStr">
        <is>
          <t>Roof / exterior repair</t>
        </is>
      </c>
      <c r="H31" s="2" t="inlineStr">
        <is>
          <t>Routine</t>
        </is>
      </c>
      <c r="I31" s="2" t="inlineStr">
        <is>
          <t>Yes, if safe and privacy-redacted</t>
        </is>
      </c>
      <c r="J31" s="2" t="inlineStr">
        <is>
          <t>Yes</t>
        </is>
      </c>
      <c r="K31" s="2" t="inlineStr">
        <is>
          <t>Yes - safe observation/documentation only</t>
        </is>
      </c>
      <c r="L31" s="2" t="inlineStr">
        <is>
          <t>No</t>
        </is>
      </c>
      <c r="M31" s="2" t="inlineStr">
        <is>
          <t>No</t>
        </is>
      </c>
      <c r="N31" s="2" t="inlineStr">
        <is>
          <t>No</t>
        </is>
      </c>
      <c r="O31" s="2" t="inlineStr">
        <is>
          <t>Supported</t>
        </is>
      </c>
      <c r="P31" s="2" t="inlineStr">
        <is>
          <t>No major gap found for this scenario</t>
        </is>
      </c>
      <c r="Q31" s="2" t="inlineStr">
        <is>
          <t>No correction required beyond maintaining source alignment and periodic production sampling.</t>
        </is>
      </c>
      <c r="R31" s="3" t="inlineStr">
        <is>
          <t>Pass</t>
        </is>
      </c>
      <c r="S31" s="2" t="inlineStr">
        <is>
          <t>Low</t>
        </is>
      </c>
      <c r="T31" s="2" t="inlineStr">
        <is>
          <t>Baseline from classified work-order fields; source category row found in troubleshooting source.</t>
        </is>
      </c>
    </row>
    <row r="32" ht="95" customHeight="1">
      <c r="A32" s="2" t="inlineStr">
        <is>
          <t>TC-031</t>
        </is>
      </c>
      <c r="B32" s="2" t="inlineStr">
        <is>
          <t>Roof/exterior</t>
        </is>
      </c>
      <c r="C32" s="2" t="n">
        <v>610</v>
      </c>
      <c r="D32" s="2" t="inlineStr">
        <is>
          <t>1556-1</t>
        </is>
      </c>
      <c r="E32" s="2" t="inlineStr">
        <is>
          <t>1. Few fence sections fell down, blocking the gate - need to check that gate is ok 2.Back door need paint outside one roof panel in the front patio is damaged ,a also shingles on the ground 3. Few wall cracks 4. One window glass is broken - living room 5. Dining room missing 1 blind 4. Under sink damage 5. few plugs missing cover (master BR...) 6. master bathroom some tile fell off (It is on the window sill) Tub has a few chipped parts 2 drawers need paint inside / or paper toilet cover need replacement Missing closet doors in bedroom 2 Dirty windows around the house MAKE READY</t>
        </is>
      </c>
      <c r="F32" s="2" t="inlineStr">
        <is>
          <t>Plumbing</t>
        </is>
      </c>
      <c r="G32" s="2" t="inlineStr">
        <is>
          <t>Roof / exterior repair</t>
        </is>
      </c>
      <c r="H32" s="2" t="inlineStr">
        <is>
          <t>Routine</t>
        </is>
      </c>
      <c r="I32" s="2" t="inlineStr">
        <is>
          <t>Yes, if safe and privacy-redacted</t>
        </is>
      </c>
      <c r="J32" s="2" t="inlineStr">
        <is>
          <t>Yes</t>
        </is>
      </c>
      <c r="K32" s="2" t="inlineStr">
        <is>
          <t>Yes - safe observation/documentation only</t>
        </is>
      </c>
      <c r="L32" s="2" t="inlineStr">
        <is>
          <t>No</t>
        </is>
      </c>
      <c r="M32" s="2" t="inlineStr">
        <is>
          <t>Yes</t>
        </is>
      </c>
      <c r="N32" s="2" t="inlineStr">
        <is>
          <t>Unknown</t>
        </is>
      </c>
      <c r="O32" s="2" t="inlineStr">
        <is>
          <t>Supported</t>
        </is>
      </c>
      <c r="P32" s="2" t="inlineStr">
        <is>
          <t>No major gap found for this scenario</t>
        </is>
      </c>
      <c r="Q32" s="2" t="inlineStr">
        <is>
          <t>Ensure staff handoff captures safety flags, access details, photos/video status, possible tenant-caused indicators staff-only, and tentative vendor category.</t>
        </is>
      </c>
      <c r="R32" s="3" t="inlineStr">
        <is>
          <t>Pass</t>
        </is>
      </c>
      <c r="S32" s="2" t="inlineStr">
        <is>
          <t>Medium</t>
        </is>
      </c>
      <c r="T32" s="2" t="inlineStr">
        <is>
          <t>Baseline from classified work-order fields; source category row found in troubleshooting source.</t>
        </is>
      </c>
    </row>
    <row r="33" ht="95" customHeight="1">
      <c r="A33" s="2" t="inlineStr">
        <is>
          <t>TC-032</t>
        </is>
      </c>
      <c r="B33" s="2" t="inlineStr">
        <is>
          <t>Roof/exterior</t>
        </is>
      </c>
      <c r="C33" s="2" t="n">
        <v>720</v>
      </c>
      <c r="D33" s="2" t="inlineStr">
        <is>
          <t>1570-1</t>
        </is>
      </c>
      <c r="E33" s="2" t="inlineStr">
        <is>
          <t>Side gate/fence was damaged by the hurricane. There is a piece of flashing hanging down from the roof in the front of the house. There is a window with a large crack in it that was one of the items I reported, when I moved in and I've noticed a couple of others that have small cracks in them. Lights on the side of the house, where the patio/deck is, do not work. I have tried putting new light bulbs in them both and the faucet head in the kitchen sink is still broken. 1. Side gate/fence was damaged by the hurricane. 2. There is a piece of flashing hanging down from the roof in the front of the house. 3. There is a window with a large crack , and a few more have small cracks in them. (Normally tenant responsibility , but we found one cracked window reported in the Residential Inventory &amp; condition Form- so we will do it) 4. Lights on the side of the house, where the patio/deck is, do not work. I have tried putting new light bulbs in them both</t>
        </is>
      </c>
      <c r="F33" s="2" t="inlineStr">
        <is>
          <t>Plumbing</t>
        </is>
      </c>
      <c r="G33" s="2" t="inlineStr">
        <is>
          <t>Roof / exterior repair</t>
        </is>
      </c>
      <c r="H33" s="2" t="inlineStr">
        <is>
          <t>Routine</t>
        </is>
      </c>
      <c r="I33" s="2" t="inlineStr">
        <is>
          <t>Yes, if safe and privacy-redacted</t>
        </is>
      </c>
      <c r="J33" s="2" t="inlineStr">
        <is>
          <t>Yes</t>
        </is>
      </c>
      <c r="K33" s="2" t="inlineStr">
        <is>
          <t>Yes - safe observation/documentation only</t>
        </is>
      </c>
      <c r="L33" s="2" t="inlineStr">
        <is>
          <t>No</t>
        </is>
      </c>
      <c r="M33" s="2" t="inlineStr">
        <is>
          <t>Yes</t>
        </is>
      </c>
      <c r="N33" s="2" t="inlineStr">
        <is>
          <t>Unknown</t>
        </is>
      </c>
      <c r="O33" s="2" t="inlineStr">
        <is>
          <t>Supported</t>
        </is>
      </c>
      <c r="P33" s="2" t="inlineStr">
        <is>
          <t>No major gap found for this scenario</t>
        </is>
      </c>
      <c r="Q33" s="2" t="inlineStr">
        <is>
          <t>Ensure staff handoff captures safety flags, access details, photos/video status, possible tenant-caused indicators staff-only, and tentative vendor category.</t>
        </is>
      </c>
      <c r="R33" s="3" t="inlineStr">
        <is>
          <t>Pass</t>
        </is>
      </c>
      <c r="S33" s="2" t="inlineStr">
        <is>
          <t>Medium</t>
        </is>
      </c>
      <c r="T33" s="2" t="inlineStr">
        <is>
          <t>Baseline from classified work-order fields; source category row found in troubleshooting source.</t>
        </is>
      </c>
    </row>
    <row r="34" ht="95" customHeight="1">
      <c r="A34" s="2" t="inlineStr">
        <is>
          <t>TC-033</t>
        </is>
      </c>
      <c r="B34" s="2" t="inlineStr">
        <is>
          <t>Pest</t>
        </is>
      </c>
      <c r="C34" s="2" t="n">
        <v>272</v>
      </c>
      <c r="D34" s="2" t="inlineStr">
        <is>
          <t>1380-1</t>
        </is>
      </c>
      <c r="E34" s="2" t="inlineStr">
        <is>
          <t>Pest control targeting Germa roaches and general</t>
        </is>
      </c>
      <c r="F34" s="2" t="inlineStr">
        <is>
          <t>Pest</t>
        </is>
      </c>
      <c r="G34" s="2" t="inlineStr">
        <is>
          <t>Pest activity</t>
        </is>
      </c>
      <c r="H34" s="2" t="inlineStr">
        <is>
          <t>Routine</t>
        </is>
      </c>
      <c r="I34" s="2" t="inlineStr">
        <is>
          <t>Yes, if safe and privacy-redacted</t>
        </is>
      </c>
      <c r="J34" s="2" t="inlineStr">
        <is>
          <t>Yes</t>
        </is>
      </c>
      <c r="K34" s="2" t="inlineStr">
        <is>
          <t>No chemical/handling; safe distance documentation only</t>
        </is>
      </c>
      <c r="L34" s="2" t="inlineStr">
        <is>
          <t>No</t>
        </is>
      </c>
      <c r="M34" s="2" t="inlineStr">
        <is>
          <t>Yes</t>
        </is>
      </c>
      <c r="N34" s="2" t="inlineStr">
        <is>
          <t>Unknown</t>
        </is>
      </c>
      <c r="O34" s="2" t="inlineStr">
        <is>
          <t>Supported</t>
        </is>
      </c>
      <c r="P34" s="2" t="inlineStr">
        <is>
          <t>No major gap found for this scenario</t>
        </is>
      </c>
      <c r="Q34" s="2" t="inlineStr">
        <is>
          <t>Ensure staff handoff captures safety flags, access details, photos/video status, possible tenant-caused indicators staff-only, and tentative vendor category.</t>
        </is>
      </c>
      <c r="R34" s="3" t="inlineStr">
        <is>
          <t>Pass</t>
        </is>
      </c>
      <c r="S34" s="2" t="inlineStr">
        <is>
          <t>Medium</t>
        </is>
      </c>
      <c r="T34" s="2" t="inlineStr">
        <is>
          <t>Baseline from classified work-order fields; source category row found in troubleshooting source.</t>
        </is>
      </c>
    </row>
    <row r="35" ht="95" customHeight="1">
      <c r="A35" s="2" t="inlineStr">
        <is>
          <t>TC-034</t>
        </is>
      </c>
      <c r="B35" s="2" t="inlineStr">
        <is>
          <t>Pest</t>
        </is>
      </c>
      <c r="C35" s="2" t="n">
        <v>355</v>
      </c>
      <c r="D35" s="2" t="inlineStr">
        <is>
          <t>1379-3</t>
        </is>
      </c>
      <c r="E35" s="2" t="inlineStr">
        <is>
          <t>Property need tree trimming, few trees damaging the fence. Pest control for roaches New dishwasher Hall tub is damaged Water heater is leaking</t>
        </is>
      </c>
      <c r="F35" s="2" t="inlineStr">
        <is>
          <t>Plumbing</t>
        </is>
      </c>
      <c r="G35" s="2" t="inlineStr">
        <is>
          <t>Pest activity</t>
        </is>
      </c>
      <c r="H35" s="2" t="inlineStr">
        <is>
          <t>Routine</t>
        </is>
      </c>
      <c r="I35" s="2" t="inlineStr">
        <is>
          <t>Yes, if safe and privacy-redacted</t>
        </is>
      </c>
      <c r="J35" s="2" t="inlineStr">
        <is>
          <t>Yes</t>
        </is>
      </c>
      <c r="K35" s="2" t="inlineStr">
        <is>
          <t>No chemical/handling; safe distance documentation only</t>
        </is>
      </c>
      <c r="L35" s="2" t="inlineStr">
        <is>
          <t>No</t>
        </is>
      </c>
      <c r="M35" s="2" t="inlineStr">
        <is>
          <t>Yes</t>
        </is>
      </c>
      <c r="N35" s="2" t="inlineStr">
        <is>
          <t>No</t>
        </is>
      </c>
      <c r="O35" s="2" t="inlineStr">
        <is>
          <t>Supported</t>
        </is>
      </c>
      <c r="P35" s="2" t="inlineStr">
        <is>
          <t>No major gap found for this scenario</t>
        </is>
      </c>
      <c r="Q35" s="2" t="inlineStr">
        <is>
          <t>Ensure staff handoff captures safety flags, access details, photos/video status, possible tenant-caused indicators staff-only, and tentative vendor category.</t>
        </is>
      </c>
      <c r="R35" s="3" t="inlineStr">
        <is>
          <t>Pass</t>
        </is>
      </c>
      <c r="S35" s="2" t="inlineStr">
        <is>
          <t>Medium</t>
        </is>
      </c>
      <c r="T35" s="2" t="inlineStr">
        <is>
          <t>Baseline from classified work-order fields; source category row found in troubleshooting source.</t>
        </is>
      </c>
    </row>
    <row r="36" ht="95" customHeight="1">
      <c r="A36" s="2" t="inlineStr">
        <is>
          <t>TC-035</t>
        </is>
      </c>
      <c r="B36" s="2" t="inlineStr">
        <is>
          <t>Pest</t>
        </is>
      </c>
      <c r="C36" s="2" t="n">
        <v>727</v>
      </c>
      <c r="D36" s="2" t="inlineStr">
        <is>
          <t>1581-1</t>
        </is>
      </c>
      <c r="E36" s="2" t="inlineStr">
        <is>
          <t>Wasp nests in windows and in garage. Roaches seen. Lizards throughout house - entering through gap in kitchen door. 7 hornets nests in garage door.</t>
        </is>
      </c>
      <c r="F36" s="2" t="inlineStr">
        <is>
          <t>Pest</t>
        </is>
      </c>
      <c r="G36" s="2" t="inlineStr">
        <is>
          <t>Door / lock security issue</t>
        </is>
      </c>
      <c r="H36" s="2" t="inlineStr">
        <is>
          <t>Routine</t>
        </is>
      </c>
      <c r="I36" s="2" t="inlineStr">
        <is>
          <t>Yes, if safe and privacy-redacted</t>
        </is>
      </c>
      <c r="J36" s="2" t="inlineStr">
        <is>
          <t>Yes</t>
        </is>
      </c>
      <c r="K36" s="2" t="inlineStr">
        <is>
          <t>Limited - describe issue; do not force/bypass hardware</t>
        </is>
      </c>
      <c r="L36" s="2" t="inlineStr">
        <is>
          <t>No</t>
        </is>
      </c>
      <c r="M36" s="2" t="inlineStr">
        <is>
          <t>Yes</t>
        </is>
      </c>
      <c r="N36" s="2" t="inlineStr">
        <is>
          <t>Unknown</t>
        </is>
      </c>
      <c r="O36" s="2" t="inlineStr">
        <is>
          <t>Supported</t>
        </is>
      </c>
      <c r="P36" s="2" t="inlineStr">
        <is>
          <t>No major gap found for this scenario</t>
        </is>
      </c>
      <c r="Q36" s="2" t="inlineStr">
        <is>
          <t>Ensure staff handoff captures safety flags, access details, photos/video status, possible tenant-caused indicators staff-only, and tentative vendor category.</t>
        </is>
      </c>
      <c r="R36" s="3" t="inlineStr">
        <is>
          <t>Pass</t>
        </is>
      </c>
      <c r="S36" s="2" t="inlineStr">
        <is>
          <t>Medium</t>
        </is>
      </c>
      <c r="T36" s="2" t="inlineStr">
        <is>
          <t>Baseline from classified work-order fields; source category row found in troubleshooting source.</t>
        </is>
      </c>
    </row>
    <row r="37" ht="95" customHeight="1">
      <c r="A37" s="2" t="inlineStr">
        <is>
          <t>TC-036</t>
        </is>
      </c>
      <c r="B37" s="2" t="inlineStr">
        <is>
          <t>Pest</t>
        </is>
      </c>
      <c r="C37" s="2" t="n">
        <v>842</v>
      </c>
      <c r="D37" s="2" t="inlineStr">
        <is>
          <t>1729-1</t>
        </is>
      </c>
      <c r="E37" s="2" t="inlineStr">
        <is>
          <t>1. Mice in the kitchen- need pest control and close entrance point for rodents. As well as trim trees that touch or to close to the property. 2. Range wire was chewed by a rodent</t>
        </is>
      </c>
      <c r="F37" s="2" t="inlineStr">
        <is>
          <t>Pest</t>
        </is>
      </c>
      <c r="G37" s="2" t="inlineStr">
        <is>
          <t>Pest activity</t>
        </is>
      </c>
      <c r="H37" s="2" t="inlineStr">
        <is>
          <t>Routine</t>
        </is>
      </c>
      <c r="I37" s="2" t="inlineStr">
        <is>
          <t>Yes, if safe and privacy-redacted</t>
        </is>
      </c>
      <c r="J37" s="2" t="inlineStr">
        <is>
          <t>Yes</t>
        </is>
      </c>
      <c r="K37" s="2" t="inlineStr">
        <is>
          <t>No chemical/handling; safe distance documentation only</t>
        </is>
      </c>
      <c r="L37" s="2" t="inlineStr">
        <is>
          <t>No</t>
        </is>
      </c>
      <c r="M37" s="2" t="inlineStr">
        <is>
          <t>Yes</t>
        </is>
      </c>
      <c r="N37" s="2" t="inlineStr">
        <is>
          <t>No</t>
        </is>
      </c>
      <c r="O37" s="2" t="inlineStr">
        <is>
          <t>Supported</t>
        </is>
      </c>
      <c r="P37" s="2" t="inlineStr">
        <is>
          <t>No major gap found for this scenario</t>
        </is>
      </c>
      <c r="Q37" s="2" t="inlineStr">
        <is>
          <t>Ensure staff handoff captures safety flags, access details, photos/video status, possible tenant-caused indicators staff-only, and tentative vendor category.</t>
        </is>
      </c>
      <c r="R37" s="3" t="inlineStr">
        <is>
          <t>Pass</t>
        </is>
      </c>
      <c r="S37" s="2" t="inlineStr">
        <is>
          <t>Medium</t>
        </is>
      </c>
      <c r="T37" s="2" t="inlineStr">
        <is>
          <t>Baseline from classified work-order fields; source category row found in troubleshooting source.</t>
        </is>
      </c>
    </row>
    <row r="38" ht="95" customHeight="1">
      <c r="A38" s="2" t="inlineStr">
        <is>
          <t>TC-037</t>
        </is>
      </c>
      <c r="B38" s="2" t="inlineStr">
        <is>
          <t>General handyman</t>
        </is>
      </c>
      <c r="C38" s="2" t="n">
        <v>707</v>
      </c>
      <c r="D38" s="2" t="inlineStr">
        <is>
          <t>1509-1</t>
        </is>
      </c>
      <c r="E38" s="2" t="inlineStr">
        <is>
          <t>Lockbox 2830 Tenant left heavy trash outside AC- second floor has stain in ceiling &amp; is hotter that 1st floor Need some Cleaning: Oven, new dripping pans, AC registers need cleaning No lights in the freezer Carpet replacement: Need new carpet for stairs &amp; BR 2 - Need to see again Trees around the property need trimming (They are on the building) Some of the siding (right ) need powerwash , its [REDACTED_RESIDENT] 1. Need pest control 2. Fence need repair 3. need to replace the locks (I can not open the back door) Front door is not locking well , frame was repaired 4. Front door need paint, Master bedroom door, paint white banister, closet doors BR 3 -&amp; hole in closet Closets doors off track in : Untidy area, BR 3BR 2 5. MISSING DOORS- Bedroom 2 upstairs &amp; BR 3 6. Ceiling hall &amp; closet 2nd floor has mold is it from AC?need repair, treat, paint. Utility closet need paint 5. Blinds : 1 living room, master BR, 2nd BR 3, 6. Kitchen cabinets damaged paint - can we paint it? 7. Light fixtures</t>
        </is>
      </c>
      <c r="F38" s="2" t="inlineStr">
        <is>
          <t>HVAC</t>
        </is>
      </c>
      <c r="G38" s="2" t="inlineStr">
        <is>
          <t>Interior repair / handyman</t>
        </is>
      </c>
      <c r="H38" s="2" t="inlineStr">
        <is>
          <t>Routine</t>
        </is>
      </c>
      <c r="I38" s="2" t="inlineStr">
        <is>
          <t>Yes, if safe and privacy-redacted</t>
        </is>
      </c>
      <c r="J38" s="2" t="inlineStr">
        <is>
          <t>Yes</t>
        </is>
      </c>
      <c r="K38" s="2" t="inlineStr">
        <is>
          <t>Yes - safe observation/documentation only</t>
        </is>
      </c>
      <c r="L38" s="2" t="inlineStr">
        <is>
          <t>No</t>
        </is>
      </c>
      <c r="M38" s="2" t="inlineStr">
        <is>
          <t>No</t>
        </is>
      </c>
      <c r="N38" s="2" t="inlineStr">
        <is>
          <t>No</t>
        </is>
      </c>
      <c r="O38" s="2" t="inlineStr">
        <is>
          <t>Partially supported</t>
        </is>
      </c>
      <c r="P38" s="2" t="inlineStr">
        <is>
          <t>Photo/video rule should be conditional, not default</t>
        </is>
      </c>
      <c r="Q38" s="2" t="inlineStr">
        <is>
          <t>Change source workbook photo/video field from universal Yes to conditional: request only when useful and safe; mark optional/not needed for low-risk routine records.</t>
        </is>
      </c>
      <c r="R38" s="6" t="inlineStr">
        <is>
          <t>Watch</t>
        </is>
      </c>
      <c r="S38" s="2" t="inlineStr">
        <is>
          <t>Medium</t>
        </is>
      </c>
      <c r="T38" s="2" t="inlineStr">
        <is>
          <t>Baseline from classified work-order fields; source category row found in troubleshooting source.</t>
        </is>
      </c>
    </row>
    <row r="39" ht="95" customHeight="1">
      <c r="A39" s="2" t="inlineStr">
        <is>
          <t>TC-038</t>
        </is>
      </c>
      <c r="B39" s="2" t="inlineStr">
        <is>
          <t>General handyman</t>
        </is>
      </c>
      <c r="C39" s="2" t="n">
        <v>18</v>
      </c>
      <c r="D39" s="2" t="inlineStr">
        <is>
          <t>977-2</t>
        </is>
      </c>
      <c r="E39" s="2" t="inlineStr">
        <is>
          <t>Bottom trim coming off in multiple places Needs repainting in multiple places Bottom trim coming off in multiple places Needs repainting in multiple places</t>
        </is>
      </c>
      <c r="F39" s="2" t="inlineStr">
        <is>
          <t>General Handyman</t>
        </is>
      </c>
      <c r="G39" s="2" t="inlineStr">
        <is>
          <t>General Handyman issue</t>
        </is>
      </c>
      <c r="H39" s="2" t="inlineStr">
        <is>
          <t>Routine</t>
        </is>
      </c>
      <c r="I39" s="2" t="inlineStr">
        <is>
          <t>Yes, if safe and privacy-redacted</t>
        </is>
      </c>
      <c r="J39" s="2" t="inlineStr">
        <is>
          <t>Yes</t>
        </is>
      </c>
      <c r="K39" s="2" t="inlineStr">
        <is>
          <t>Yes - safe observation/documentation only</t>
        </is>
      </c>
      <c r="L39" s="2" t="inlineStr">
        <is>
          <t>No</t>
        </is>
      </c>
      <c r="M39" s="2" t="inlineStr">
        <is>
          <t>Yes</t>
        </is>
      </c>
      <c r="N39" s="2" t="inlineStr">
        <is>
          <t>Unknown</t>
        </is>
      </c>
      <c r="O39" s="2" t="inlineStr">
        <is>
          <t>Partially supported</t>
        </is>
      </c>
      <c r="P39" s="2" t="inlineStr">
        <is>
          <t>Photo/video rule should be conditional, not default</t>
        </is>
      </c>
      <c r="Q39" s="2" t="inlineStr">
        <is>
          <t>Change source workbook photo/video field from universal Yes to conditional: request only when useful and safe; mark optional/not needed for low-risk routine records.</t>
        </is>
      </c>
      <c r="R39" s="6" t="inlineStr">
        <is>
          <t>Watch</t>
        </is>
      </c>
      <c r="S39" s="2" t="inlineStr">
        <is>
          <t>Medium</t>
        </is>
      </c>
      <c r="T39" s="2" t="inlineStr">
        <is>
          <t>Baseline from classified work-order fields; source category row found in troubleshooting source.</t>
        </is>
      </c>
    </row>
    <row r="40" ht="95" customHeight="1">
      <c r="A40" s="2" t="inlineStr">
        <is>
          <t>TC-039</t>
        </is>
      </c>
      <c r="B40" s="2" t="inlineStr">
        <is>
          <t>General handyman</t>
        </is>
      </c>
      <c r="C40" s="2" t="n">
        <v>975</v>
      </c>
      <c r="D40" s="2" t="inlineStr">
        <is>
          <t>1906-1</t>
        </is>
      </c>
      <c r="E40" s="2" t="inlineStr">
        <is>
          <t>The paint on the trim above the garage and on the left side of the home is peeling and needs to be repainted. Remove the dark residue from the driveway; and Remove the rust from the front screen door.</t>
        </is>
      </c>
      <c r="F40" s="2" t="inlineStr">
        <is>
          <t>Roof/Exterior</t>
        </is>
      </c>
      <c r="G40" s="2" t="inlineStr">
        <is>
          <t>Interior repair / handyman</t>
        </is>
      </c>
      <c r="H40" s="2" t="inlineStr">
        <is>
          <t>Routine</t>
        </is>
      </c>
      <c r="I40" s="2" t="inlineStr">
        <is>
          <t>Yes, if safe and privacy-redacted</t>
        </is>
      </c>
      <c r="J40" s="2" t="inlineStr">
        <is>
          <t>Yes</t>
        </is>
      </c>
      <c r="K40" s="2" t="inlineStr">
        <is>
          <t>Yes - safe observation/documentation only</t>
        </is>
      </c>
      <c r="L40" s="2" t="inlineStr">
        <is>
          <t>No</t>
        </is>
      </c>
      <c r="M40" s="2" t="inlineStr">
        <is>
          <t>Case-specific</t>
        </is>
      </c>
      <c r="N40" s="2" t="inlineStr">
        <is>
          <t>Unknown</t>
        </is>
      </c>
      <c r="O40" s="2" t="inlineStr">
        <is>
          <t>Partially supported</t>
        </is>
      </c>
      <c r="P40" s="2" t="inlineStr">
        <is>
          <t>Photo/video rule should be conditional, not default</t>
        </is>
      </c>
      <c r="Q40" s="2" t="inlineStr">
        <is>
          <t>Change source workbook photo/video field from universal Yes to conditional: request only when useful and safe; mark optional/not needed for low-risk routine records.</t>
        </is>
      </c>
      <c r="R40" s="6" t="inlineStr">
        <is>
          <t>Watch</t>
        </is>
      </c>
      <c r="S40" s="2" t="inlineStr">
        <is>
          <t>Medium</t>
        </is>
      </c>
      <c r="T40" s="2" t="inlineStr">
        <is>
          <t>Baseline from classified work-order fields; source category row found in troubleshooting source.</t>
        </is>
      </c>
    </row>
    <row r="41" ht="95" customHeight="1">
      <c r="A41" s="2" t="inlineStr">
        <is>
          <t>TC-040</t>
        </is>
      </c>
      <c r="B41" s="2" t="inlineStr">
        <is>
          <t>General handyman</t>
        </is>
      </c>
      <c r="C41" s="2" t="n">
        <v>194</v>
      </c>
      <c r="D41" s="2" t="inlineStr">
        <is>
          <t>1109-1</t>
        </is>
      </c>
      <c r="E41" s="2" t="inlineStr">
        <is>
          <t>Make Ready 2414 Ashmont Dr Missouri City TX 77489 1. Paint all walls &amp; fix cracks labor $400 2. Paint kitchen cabinets inside and outside &amp; paint desk &amp; shelves in the living room $300 labor 3. Paint partial ceiling living room &amp; formal dining room $150 labor 4. Paint front door &amp; back door and ___ doors $20 each Labor 5. Fix master bathroom $150 labor 7. Replace broken tiles $200 labor</t>
        </is>
      </c>
      <c r="F41" s="2" t="inlineStr">
        <is>
          <t>Cleaning/Trash</t>
        </is>
      </c>
      <c r="G41" s="2" t="inlineStr">
        <is>
          <t>Interior repair / handyman</t>
        </is>
      </c>
      <c r="H41" s="2" t="inlineStr">
        <is>
          <t>Routine</t>
        </is>
      </c>
      <c r="I41" s="2" t="inlineStr">
        <is>
          <t>Yes, if safe and privacy-redacted</t>
        </is>
      </c>
      <c r="J41" s="2" t="inlineStr">
        <is>
          <t>Yes</t>
        </is>
      </c>
      <c r="K41" s="2" t="inlineStr">
        <is>
          <t>Yes - safe observation/documentation only</t>
        </is>
      </c>
      <c r="L41" s="2" t="inlineStr">
        <is>
          <t>No</t>
        </is>
      </c>
      <c r="M41" s="2" t="inlineStr">
        <is>
          <t>Case-specific</t>
        </is>
      </c>
      <c r="N41" s="2" t="inlineStr">
        <is>
          <t>Unknown</t>
        </is>
      </c>
      <c r="O41" s="2" t="inlineStr">
        <is>
          <t>Partially supported</t>
        </is>
      </c>
      <c r="P41" s="2" t="inlineStr">
        <is>
          <t>Photo/video rule should be conditional, not default</t>
        </is>
      </c>
      <c r="Q41" s="2" t="inlineStr">
        <is>
          <t>Change source workbook photo/video field from universal Yes to conditional: request only when useful and safe; mark optional/not needed for low-risk routine records.</t>
        </is>
      </c>
      <c r="R41" s="6" t="inlineStr">
        <is>
          <t>Watch</t>
        </is>
      </c>
      <c r="S41" s="2" t="inlineStr">
        <is>
          <t>Medium</t>
        </is>
      </c>
      <c r="T41" s="2" t="inlineStr">
        <is>
          <t>Baseline from classified work-order fields; source category row found in troubleshooting source.</t>
        </is>
      </c>
    </row>
    <row r="42" ht="95" customHeight="1">
      <c r="A42" s="2" t="inlineStr">
        <is>
          <t>TC-041</t>
        </is>
      </c>
      <c r="B42" s="2" t="inlineStr">
        <is>
          <t>Emergency candidates</t>
        </is>
      </c>
      <c r="C42" s="2" t="n">
        <v>554</v>
      </c>
      <c r="D42" s="2" t="inlineStr">
        <is>
          <t>1666-1</t>
        </is>
      </c>
      <c r="E42" s="2" t="inlineStr">
        <is>
          <t>Requesting a fire marshal. After smelling smoke near the breaker box during yesterday’s rain, I called the fire department. They advised getting an electrician immediately. We have no power in the back house. I replaced the main breaker, but it’s still not working</t>
        </is>
      </c>
      <c r="F42" s="2" t="inlineStr">
        <is>
          <t>Safety</t>
        </is>
      </c>
      <c r="G42" s="2" t="inlineStr">
        <is>
          <t>Appliance not working</t>
        </is>
      </c>
      <c r="H42" s="2" t="inlineStr">
        <is>
          <t>Emergency</t>
        </is>
      </c>
      <c r="I42" s="2" t="inlineStr">
        <is>
          <t>No initially - do not delay safety action; optional later only if safe</t>
        </is>
      </c>
      <c r="J42" s="2" t="inlineStr">
        <is>
          <t>Yes</t>
        </is>
      </c>
      <c r="K42" s="2" t="inlineStr">
        <is>
          <t>No - safety screen and escalate; only distance/stop-use guidance</t>
        </is>
      </c>
      <c r="L42" s="2" t="inlineStr">
        <is>
          <t>Yes</t>
        </is>
      </c>
      <c r="M42" s="2" t="inlineStr">
        <is>
          <t>Yes</t>
        </is>
      </c>
      <c r="N42" s="2" t="inlineStr">
        <is>
          <t>Unknown</t>
        </is>
      </c>
      <c r="O42" s="2" t="inlineStr">
        <is>
          <t>Conflict / needs correction</t>
        </is>
      </c>
      <c r="P42" s="2" t="inlineStr">
        <is>
          <t>Emergency-service instruction conflict across source files</t>
        </is>
      </c>
      <c r="Q42" s="2" t="inlineStr">
        <is>
          <t>Reconcile guardrails vs constraints/rubric: choose one approved emergency-services instruction and apply consistently for gas/fire/smoke/CO/immediate-danger cases.</t>
        </is>
      </c>
      <c r="R42" s="5" t="inlineStr">
        <is>
          <t>Fail</t>
        </is>
      </c>
      <c r="S42" s="4" t="inlineStr">
        <is>
          <t>High</t>
        </is>
      </c>
      <c r="T42" s="2" t="inlineStr">
        <is>
          <t>Baseline from classified work-order fields; source category row found in troubleshooting source.</t>
        </is>
      </c>
    </row>
    <row r="43" ht="95" customHeight="1">
      <c r="A43" s="2" t="inlineStr">
        <is>
          <t>TC-042</t>
        </is>
      </c>
      <c r="B43" s="2" t="inlineStr">
        <is>
          <t>Emergency candidates</t>
        </is>
      </c>
      <c r="C43" s="2" t="n">
        <v>501</v>
      </c>
      <c r="D43" s="2" t="inlineStr">
        <is>
          <t>1427-1</t>
        </is>
      </c>
      <c r="E43" s="2" t="inlineStr">
        <is>
          <t>We have a clogged pipe in our front yard and sewage is coming up from the exposed PVC pipe. Can you please send out a [REDACTED_VENDOR] to snake out the blockage</t>
        </is>
      </c>
      <c r="F43" s="2" t="inlineStr">
        <is>
          <t>Plumbing</t>
        </is>
      </c>
      <c r="G43" s="2" t="inlineStr">
        <is>
          <t>Sewage / drain backup</t>
        </is>
      </c>
      <c r="H43" s="2" t="inlineStr">
        <is>
          <t>Emergency</t>
        </is>
      </c>
      <c r="I43" s="2" t="inlineStr">
        <is>
          <t>Yes, if safe and privacy-redacted</t>
        </is>
      </c>
      <c r="J43" s="2" t="inlineStr">
        <is>
          <t>Yes</t>
        </is>
      </c>
      <c r="K43" s="2" t="inlineStr">
        <is>
          <t>No - safety screen and escalate; only distance/stop-use guidance</t>
        </is>
      </c>
      <c r="L43" s="2" t="inlineStr">
        <is>
          <t>Yes</t>
        </is>
      </c>
      <c r="M43" s="2" t="inlineStr">
        <is>
          <t>Yes</t>
        </is>
      </c>
      <c r="N43" s="2" t="inlineStr">
        <is>
          <t>Yes</t>
        </is>
      </c>
      <c r="O43" s="2" t="inlineStr">
        <is>
          <t>Supported</t>
        </is>
      </c>
      <c r="P43" s="2" t="inlineStr">
        <is>
          <t>No major gap found for this scenario</t>
        </is>
      </c>
      <c r="Q43" s="2" t="inlineStr">
        <is>
          <t>Keep emergency/escalation rule; add category-specific screening prompts if absent from the source row.</t>
        </is>
      </c>
      <c r="R43" s="3" t="inlineStr">
        <is>
          <t>Pass</t>
        </is>
      </c>
      <c r="S43" s="4" t="inlineStr">
        <is>
          <t>High</t>
        </is>
      </c>
      <c r="T43" s="2" t="inlineStr">
        <is>
          <t>Baseline from classified work-order fields; source category row found in troubleshooting source.</t>
        </is>
      </c>
    </row>
    <row r="44" ht="95" customHeight="1">
      <c r="A44" s="2" t="inlineStr">
        <is>
          <t>TC-043</t>
        </is>
      </c>
      <c r="B44" s="2" t="inlineStr">
        <is>
          <t>Emergency candidates</t>
        </is>
      </c>
      <c r="C44" s="2" t="n">
        <v>30</v>
      </c>
      <c r="D44" s="2" t="inlineStr">
        <is>
          <t>1167-1</t>
        </is>
      </c>
      <c r="E44" s="2" t="inlineStr">
        <is>
          <t>Busted pipes . Tenant turned off the water. ceiling collapsed in master bathroom and one closet. Carpet is wet in one bedroom and 2 closets. Heavey trash in both sides of the house from installation of the fence . (old fence [REDACTED_RESIDENT])</t>
        </is>
      </c>
      <c r="F44" s="2" t="inlineStr">
        <is>
          <t>Plumbing</t>
        </is>
      </c>
      <c r="G44" s="2" t="inlineStr">
        <is>
          <t>Plumbing issue</t>
        </is>
      </c>
      <c r="H44" s="2" t="inlineStr">
        <is>
          <t>Emergency</t>
        </is>
      </c>
      <c r="I44" s="2" t="inlineStr">
        <is>
          <t>Yes, if safe and privacy-redacted</t>
        </is>
      </c>
      <c r="J44" s="2" t="inlineStr">
        <is>
          <t>Yes</t>
        </is>
      </c>
      <c r="K44" s="2" t="inlineStr">
        <is>
          <t>No - safety screen and escalate; only distance/stop-use guidance</t>
        </is>
      </c>
      <c r="L44" s="2" t="inlineStr">
        <is>
          <t>Yes</t>
        </is>
      </c>
      <c r="M44" s="2" t="inlineStr">
        <is>
          <t>Yes</t>
        </is>
      </c>
      <c r="N44" s="2" t="inlineStr">
        <is>
          <t>Unknown</t>
        </is>
      </c>
      <c r="O44" s="2" t="inlineStr">
        <is>
          <t>Supported</t>
        </is>
      </c>
      <c r="P44" s="2" t="inlineStr">
        <is>
          <t>No major gap found for this scenario</t>
        </is>
      </c>
      <c r="Q44" s="2" t="inlineStr">
        <is>
          <t>Keep emergency/escalation rule; add category-specific screening prompts if absent from the source row.</t>
        </is>
      </c>
      <c r="R44" s="3" t="inlineStr">
        <is>
          <t>Pass</t>
        </is>
      </c>
      <c r="S44" s="4" t="inlineStr">
        <is>
          <t>High</t>
        </is>
      </c>
      <c r="T44" s="2" t="inlineStr">
        <is>
          <t>Baseline from classified work-order fields; source category row found in troubleshooting source.</t>
        </is>
      </c>
    </row>
    <row r="45" ht="95" customHeight="1">
      <c r="A45" s="2" t="inlineStr">
        <is>
          <t>TC-044</t>
        </is>
      </c>
      <c r="B45" s="2" t="inlineStr">
        <is>
          <t>Emergency candidates</t>
        </is>
      </c>
      <c r="C45" s="2" t="n">
        <v>49</v>
      </c>
      <c r="D45" s="2" t="inlineStr">
        <is>
          <t>989-1</t>
        </is>
      </c>
      <c r="E45" s="2" t="inlineStr">
        <is>
          <t>Sewage baching up. Not draining water from house correctly</t>
        </is>
      </c>
      <c r="F45" s="2" t="inlineStr">
        <is>
          <t>Plumbing</t>
        </is>
      </c>
      <c r="G45" s="2" t="inlineStr">
        <is>
          <t>Sewage / drain backup</t>
        </is>
      </c>
      <c r="H45" s="2" t="inlineStr">
        <is>
          <t>Emergency</t>
        </is>
      </c>
      <c r="I45" s="2" t="inlineStr">
        <is>
          <t>Yes, if safe and privacy-redacted</t>
        </is>
      </c>
      <c r="J45" s="2" t="inlineStr">
        <is>
          <t>Yes</t>
        </is>
      </c>
      <c r="K45" s="2" t="inlineStr">
        <is>
          <t>No - safety screen and escalate; only distance/stop-use guidance</t>
        </is>
      </c>
      <c r="L45" s="2" t="inlineStr">
        <is>
          <t>Yes</t>
        </is>
      </c>
      <c r="M45" s="2" t="inlineStr">
        <is>
          <t>Yes</t>
        </is>
      </c>
      <c r="N45" s="2" t="inlineStr">
        <is>
          <t>Unknown</t>
        </is>
      </c>
      <c r="O45" s="2" t="inlineStr">
        <is>
          <t>Supported</t>
        </is>
      </c>
      <c r="P45" s="2" t="inlineStr">
        <is>
          <t>No major gap found for this scenario</t>
        </is>
      </c>
      <c r="Q45" s="2" t="inlineStr">
        <is>
          <t>Keep emergency/escalation rule; add category-specific screening prompts if absent from the source row.</t>
        </is>
      </c>
      <c r="R45" s="3" t="inlineStr">
        <is>
          <t>Pass</t>
        </is>
      </c>
      <c r="S45" s="4" t="inlineStr">
        <is>
          <t>High</t>
        </is>
      </c>
      <c r="T45" s="2" t="inlineStr">
        <is>
          <t>Baseline from classified work-order fields; source category row found in troubleshooting source.</t>
        </is>
      </c>
    </row>
    <row r="46" ht="95" customHeight="1">
      <c r="A46" s="2" t="inlineStr">
        <is>
          <t>TC-045</t>
        </is>
      </c>
      <c r="B46" s="2" t="inlineStr">
        <is>
          <t>Emergency candidates</t>
        </is>
      </c>
      <c r="C46" s="2" t="n">
        <v>122</v>
      </c>
      <c r="D46" s="2" t="inlineStr">
        <is>
          <t>1049-1</t>
        </is>
      </c>
      <c r="E46" s="2" t="inlineStr">
        <is>
          <t>Water leak from smoke detectors downstairs by the French doors since 3am</t>
        </is>
      </c>
      <c r="F46" s="2" t="inlineStr">
        <is>
          <t>Plumbing</t>
        </is>
      </c>
      <c r="G46" s="2" t="inlineStr">
        <is>
          <t>Active leak / water intrusion</t>
        </is>
      </c>
      <c r="H46" s="2" t="inlineStr">
        <is>
          <t>Emergency</t>
        </is>
      </c>
      <c r="I46" s="2" t="inlineStr">
        <is>
          <t>No initially - do not delay safety action; optional later only if safe</t>
        </is>
      </c>
      <c r="J46" s="2" t="inlineStr">
        <is>
          <t>Yes</t>
        </is>
      </c>
      <c r="K46" s="2" t="inlineStr">
        <is>
          <t>No - safety screen and escalate; only distance/stop-use guidance</t>
        </is>
      </c>
      <c r="L46" s="2" t="inlineStr">
        <is>
          <t>Yes</t>
        </is>
      </c>
      <c r="M46" s="2" t="inlineStr">
        <is>
          <t>Yes</t>
        </is>
      </c>
      <c r="N46" s="2" t="inlineStr">
        <is>
          <t>Unknown</t>
        </is>
      </c>
      <c r="O46" s="2" t="inlineStr">
        <is>
          <t>Conflict / needs correction</t>
        </is>
      </c>
      <c r="P46" s="2" t="inlineStr">
        <is>
          <t>Emergency-service instruction conflict across source files</t>
        </is>
      </c>
      <c r="Q46" s="2" t="inlineStr">
        <is>
          <t>Reconcile guardrails vs constraints/rubric: choose one approved emergency-services instruction and apply consistently for gas/fire/smoke/CO/immediate-danger cases.</t>
        </is>
      </c>
      <c r="R46" s="5" t="inlineStr">
        <is>
          <t>Fail</t>
        </is>
      </c>
      <c r="S46" s="4" t="inlineStr">
        <is>
          <t>High</t>
        </is>
      </c>
      <c r="T46" s="2" t="inlineStr">
        <is>
          <t>Baseline from classified work-order fields; source category row found in troubleshooting source.</t>
        </is>
      </c>
    </row>
    <row r="47" ht="95" customHeight="1">
      <c r="A47" s="2" t="inlineStr">
        <is>
          <t>TC-046</t>
        </is>
      </c>
      <c r="B47" s="2" t="inlineStr">
        <is>
          <t>Emergency candidates</t>
        </is>
      </c>
      <c r="C47" s="2" t="n">
        <v>258</v>
      </c>
      <c r="D47" s="2" t="inlineStr">
        <is>
          <t>1218-1</t>
        </is>
      </c>
      <c r="E47" s="2" t="inlineStr">
        <is>
          <t>sewage is acting up again and backing up into the backyard.</t>
        </is>
      </c>
      <c r="F47" s="2" t="inlineStr">
        <is>
          <t>Plumbing</t>
        </is>
      </c>
      <c r="G47" s="2" t="inlineStr">
        <is>
          <t>Sewage / drain backup</t>
        </is>
      </c>
      <c r="H47" s="2" t="inlineStr">
        <is>
          <t>Emergency</t>
        </is>
      </c>
      <c r="I47" s="2" t="inlineStr">
        <is>
          <t>Yes, if safe and privacy-redacted</t>
        </is>
      </c>
      <c r="J47" s="2" t="inlineStr">
        <is>
          <t>Yes</t>
        </is>
      </c>
      <c r="K47" s="2" t="inlineStr">
        <is>
          <t>No - safety screen and escalate; only distance/stop-use guidance</t>
        </is>
      </c>
      <c r="L47" s="2" t="inlineStr">
        <is>
          <t>Yes</t>
        </is>
      </c>
      <c r="M47" s="2" t="inlineStr">
        <is>
          <t>Yes</t>
        </is>
      </c>
      <c r="N47" s="2" t="inlineStr">
        <is>
          <t>No</t>
        </is>
      </c>
      <c r="O47" s="2" t="inlineStr">
        <is>
          <t>Supported</t>
        </is>
      </c>
      <c r="P47" s="2" t="inlineStr">
        <is>
          <t>No major gap found for this scenario</t>
        </is>
      </c>
      <c r="Q47" s="2" t="inlineStr">
        <is>
          <t>Keep emergency/escalation rule; add category-specific screening prompts if absent from the source row.</t>
        </is>
      </c>
      <c r="R47" s="3" t="inlineStr">
        <is>
          <t>Pass</t>
        </is>
      </c>
      <c r="S47" s="4" t="inlineStr">
        <is>
          <t>High</t>
        </is>
      </c>
      <c r="T47" s="2" t="inlineStr">
        <is>
          <t>Baseline from classified work-order fields; source category row found in troubleshooting source.</t>
        </is>
      </c>
    </row>
    <row r="48" ht="95" customHeight="1">
      <c r="A48" s="2" t="inlineStr">
        <is>
          <t>TC-047</t>
        </is>
      </c>
      <c r="B48" s="2" t="inlineStr">
        <is>
          <t>Unclear records</t>
        </is>
      </c>
      <c r="C48" s="2" t="n">
        <v>78</v>
      </c>
      <c r="D48" s="2" t="inlineStr">
        <is>
          <t>1164-1</t>
        </is>
      </c>
      <c r="E48" s="2" t="inlineStr">
        <is>
          <t>Busted pipe</t>
        </is>
      </c>
      <c r="F48" s="2" t="inlineStr">
        <is>
          <t>Plumbing</t>
        </is>
      </c>
      <c r="G48" s="2" t="inlineStr">
        <is>
          <t>Active leak / water intrusion</t>
        </is>
      </c>
      <c r="H48" s="2" t="inlineStr">
        <is>
          <t>Urgent</t>
        </is>
      </c>
      <c r="I48" s="2" t="inlineStr">
        <is>
          <t>Yes, if safe and privacy-redacted</t>
        </is>
      </c>
      <c r="J48" s="2" t="inlineStr">
        <is>
          <t>Yes</t>
        </is>
      </c>
      <c r="K48" s="2" t="inlineStr">
        <is>
          <t>Yes - safe observation/documentation only</t>
        </is>
      </c>
      <c r="L48" s="2" t="inlineStr">
        <is>
          <t>No</t>
        </is>
      </c>
      <c r="M48" s="2" t="inlineStr">
        <is>
          <t>Yes</t>
        </is>
      </c>
      <c r="N48" s="2" t="inlineStr">
        <is>
          <t>Unknown</t>
        </is>
      </c>
      <c r="O48" s="2" t="inlineStr">
        <is>
          <t>Supported</t>
        </is>
      </c>
      <c r="P48" s="2" t="inlineStr">
        <is>
          <t>No major gap found for this scenario</t>
        </is>
      </c>
      <c r="Q48" s="2" t="inlineStr">
        <is>
          <t>Ensure staff handoff captures safety flags, access details, photos/video status, possible tenant-caused indicators staff-only, and tentative vendor category.</t>
        </is>
      </c>
      <c r="R48" s="3" t="inlineStr">
        <is>
          <t>Pass</t>
        </is>
      </c>
      <c r="S48" s="2" t="inlineStr">
        <is>
          <t>Medium</t>
        </is>
      </c>
      <c r="T48" s="2" t="inlineStr">
        <is>
          <t>Baseline from classified work-order fields; source category row found in troubleshooting source.</t>
        </is>
      </c>
    </row>
    <row r="49" ht="95" customHeight="1">
      <c r="A49" s="2" t="inlineStr">
        <is>
          <t>TC-048</t>
        </is>
      </c>
      <c r="B49" s="2" t="inlineStr">
        <is>
          <t>Unclear records</t>
        </is>
      </c>
      <c r="C49" s="2" t="n">
        <v>125</v>
      </c>
      <c r="D49" s="2" t="inlineStr">
        <is>
          <t>1113-1</t>
        </is>
      </c>
      <c r="E49" s="2" t="inlineStr">
        <is>
          <t>Ac not working</t>
        </is>
      </c>
      <c r="F49" s="2" t="inlineStr">
        <is>
          <t>HVAC</t>
        </is>
      </c>
      <c r="G49" s="2" t="inlineStr">
        <is>
          <t>No cooling / AC failure</t>
        </is>
      </c>
      <c r="H49" s="2" t="inlineStr">
        <is>
          <t>Emergency</t>
        </is>
      </c>
      <c r="I49" s="2" t="inlineStr">
        <is>
          <t>Yes, if safe and privacy-redacted</t>
        </is>
      </c>
      <c r="J49" s="2" t="inlineStr">
        <is>
          <t>Yes</t>
        </is>
      </c>
      <c r="K49" s="2" t="inlineStr">
        <is>
          <t>Yes - safe thermostat/airflow/filter observation only</t>
        </is>
      </c>
      <c r="L49" s="2" t="inlineStr">
        <is>
          <t>Yes</t>
        </is>
      </c>
      <c r="M49" s="2" t="inlineStr">
        <is>
          <t>Yes</t>
        </is>
      </c>
      <c r="N49" s="2" t="inlineStr">
        <is>
          <t>No</t>
        </is>
      </c>
      <c r="O49" s="2" t="inlineStr">
        <is>
          <t>Supported</t>
        </is>
      </c>
      <c r="P49" s="2" t="inlineStr">
        <is>
          <t>No major gap found for this scenario</t>
        </is>
      </c>
      <c r="Q49" s="2" t="inlineStr">
        <is>
          <t>Keep emergency/escalation rule; add category-specific screening prompts if absent from the source row.</t>
        </is>
      </c>
      <c r="R49" s="3" t="inlineStr">
        <is>
          <t>Pass</t>
        </is>
      </c>
      <c r="S49" s="4" t="inlineStr">
        <is>
          <t>High</t>
        </is>
      </c>
      <c r="T49" s="2" t="inlineStr">
        <is>
          <t>Baseline from classified work-order fields; source category row found in troubleshooting source.</t>
        </is>
      </c>
    </row>
    <row r="50" ht="95" customHeight="1">
      <c r="A50" s="2" t="inlineStr">
        <is>
          <t>TC-049</t>
        </is>
      </c>
      <c r="B50" s="2" t="inlineStr">
        <is>
          <t>Unclear records</t>
        </is>
      </c>
      <c r="C50" s="2" t="n">
        <v>275</v>
      </c>
      <c r="D50" s="2" t="inlineStr">
        <is>
          <t>1315-1</t>
        </is>
      </c>
      <c r="E50" s="2" t="inlineStr">
        <is>
          <t>AC not working AC not working</t>
        </is>
      </c>
      <c r="F50" s="2" t="inlineStr">
        <is>
          <t>HVAC</t>
        </is>
      </c>
      <c r="G50" s="2" t="inlineStr">
        <is>
          <t>No cooling / AC failure</t>
        </is>
      </c>
      <c r="H50" s="2" t="inlineStr">
        <is>
          <t>Emergency</t>
        </is>
      </c>
      <c r="I50" s="2" t="inlineStr">
        <is>
          <t>Yes, if safe and privacy-redacted</t>
        </is>
      </c>
      <c r="J50" s="2" t="inlineStr">
        <is>
          <t>Yes</t>
        </is>
      </c>
      <c r="K50" s="2" t="inlineStr">
        <is>
          <t>Yes - safe thermostat/airflow/filter observation only</t>
        </is>
      </c>
      <c r="L50" s="2" t="inlineStr">
        <is>
          <t>Yes</t>
        </is>
      </c>
      <c r="M50" s="2" t="inlineStr">
        <is>
          <t>Yes</t>
        </is>
      </c>
      <c r="N50" s="2" t="inlineStr">
        <is>
          <t>No</t>
        </is>
      </c>
      <c r="O50" s="2" t="inlineStr">
        <is>
          <t>Supported</t>
        </is>
      </c>
      <c r="P50" s="2" t="inlineStr">
        <is>
          <t>No major gap found for this scenario</t>
        </is>
      </c>
      <c r="Q50" s="2" t="inlineStr">
        <is>
          <t>Keep emergency/escalation rule; add category-specific screening prompts if absent from the source row.</t>
        </is>
      </c>
      <c r="R50" s="3" t="inlineStr">
        <is>
          <t>Pass</t>
        </is>
      </c>
      <c r="S50" s="4" t="inlineStr">
        <is>
          <t>High</t>
        </is>
      </c>
      <c r="T50" s="2" t="inlineStr">
        <is>
          <t>Baseline from classified work-order fields; source category row found in troubleshooting source.</t>
        </is>
      </c>
    </row>
    <row r="51" ht="95" customHeight="1">
      <c r="A51" s="2" t="inlineStr">
        <is>
          <t>TC-050</t>
        </is>
      </c>
      <c r="B51" s="2" t="inlineStr">
        <is>
          <t>Unclear records</t>
        </is>
      </c>
      <c r="C51" s="2" t="n">
        <v>350</v>
      </c>
      <c r="D51" s="2" t="inlineStr">
        <is>
          <t>1340-1</t>
        </is>
      </c>
      <c r="E51" s="2" t="inlineStr">
        <is>
          <t>AC not working</t>
        </is>
      </c>
      <c r="F51" s="2" t="inlineStr">
        <is>
          <t>HVAC</t>
        </is>
      </c>
      <c r="G51" s="2" t="inlineStr">
        <is>
          <t>No cooling / AC failure</t>
        </is>
      </c>
      <c r="H51" s="2" t="inlineStr">
        <is>
          <t>Emergency</t>
        </is>
      </c>
      <c r="I51" s="2" t="inlineStr">
        <is>
          <t>Yes, if safe and privacy-redacted</t>
        </is>
      </c>
      <c r="J51" s="2" t="inlineStr">
        <is>
          <t>Yes</t>
        </is>
      </c>
      <c r="K51" s="2" t="inlineStr">
        <is>
          <t>Yes - safe thermostat/airflow/filter observation only</t>
        </is>
      </c>
      <c r="L51" s="2" t="inlineStr">
        <is>
          <t>Yes</t>
        </is>
      </c>
      <c r="M51" s="2" t="inlineStr">
        <is>
          <t>Yes</t>
        </is>
      </c>
      <c r="N51" s="2" t="inlineStr">
        <is>
          <t>No</t>
        </is>
      </c>
      <c r="O51" s="2" t="inlineStr">
        <is>
          <t>Supported</t>
        </is>
      </c>
      <c r="P51" s="2" t="inlineStr">
        <is>
          <t>No major gap found for this scenario</t>
        </is>
      </c>
      <c r="Q51" s="2" t="inlineStr">
        <is>
          <t>Keep emergency/escalation rule; add category-specific screening prompts if absent from the source row.</t>
        </is>
      </c>
      <c r="R51" s="3" t="inlineStr">
        <is>
          <t>Pass</t>
        </is>
      </c>
      <c r="S51" s="4" t="inlineStr">
        <is>
          <t>High</t>
        </is>
      </c>
      <c r="T51" s="2" t="inlineStr">
        <is>
          <t>Baseline from classified work-order fields; source category row found in troubleshooting source.</t>
        </is>
      </c>
    </row>
  </sheetData>
  <autoFilter ref="A1:T51"/>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36" customWidth="1" min="1" max="1"/>
    <col width="16" customWidth="1" min="2" max="2"/>
    <col width="38" customWidth="1" min="3" max="3"/>
    <col width="12" customWidth="1" min="4" max="4"/>
    <col width="55" customWidth="1" min="5" max="5"/>
    <col width="34" customWidth="1" min="6" max="6"/>
    <col width="55" customWidth="1" min="7" max="7"/>
  </cols>
  <sheetData>
    <row r="1">
      <c r="A1" s="1" t="inlineStr">
        <is>
          <t>Failure Pattern</t>
        </is>
      </c>
      <c r="B1" s="1" t="inlineStr">
        <is>
          <t>Count / Exposure</t>
        </is>
      </c>
      <c r="C1" s="1" t="inlineStr">
        <is>
          <t>Example / Scope</t>
        </is>
      </c>
      <c r="D1" s="1" t="inlineStr">
        <is>
          <t>Risk</t>
        </is>
      </c>
      <c r="E1" s="1" t="inlineStr">
        <is>
          <t>Why It Matters</t>
        </is>
      </c>
      <c r="F1" s="1" t="inlineStr">
        <is>
          <t>Source Area</t>
        </is>
      </c>
      <c r="G1" s="1" t="inlineStr">
        <is>
          <t>Recommended Correction</t>
        </is>
      </c>
    </row>
    <row r="2" ht="75" customHeight="1">
      <c r="A2" s="2" t="inlineStr">
        <is>
          <t>Emergency-services instruction conflict</t>
        </is>
      </c>
      <c r="B2" s="2" t="n">
        <v>4</v>
      </c>
      <c r="C2" s="2" t="inlineStr">
        <is>
          <t>Gas/fire/smoke/CO/immediate danger cases</t>
        </is>
      </c>
      <c r="D2" s="4" t="inlineStr">
        <is>
          <t>High</t>
        </is>
      </c>
      <c r="E2" s="2" t="inlineStr">
        <is>
          <t>Guardrails prohibit telling tenants to contact emergency services directly, while constraints/rubric require it. This can produce inconsistent emergency handling.</t>
        </is>
      </c>
      <c r="F2" s="2" t="inlineStr">
        <is>
          <t>Guardrails, Constraints, Rubric</t>
        </is>
      </c>
      <c r="G2" s="2" t="inlineStr">
        <is>
          <t>Decide approved resident-facing emergency wording and update all files consistently.</t>
        </is>
      </c>
    </row>
    <row r="3" ht="75" customHeight="1">
      <c r="A3" s="2" t="inlineStr">
        <is>
          <t>Universal photo/video default in historical source</t>
        </is>
      </c>
      <c r="B3" s="2" t="n">
        <v>4</v>
      </c>
      <c r="C3" s="2" t="inlineStr">
        <is>
          <t>All classified rows in work-order workbook show Photo/Video Needed = Yes</t>
        </is>
      </c>
      <c r="D3" s="2" t="inlineStr">
        <is>
          <t>Medium</t>
        </is>
      </c>
      <c r="E3" s="2" t="inlineStr">
        <is>
          <t>Conflicts with the rule that photos/videos are useful only when safe and not default. Creates privacy and safety overcollection risk.</t>
        </is>
      </c>
      <c r="F3" s="2" t="inlineStr">
        <is>
          <t>Work-order classification source + Constraints photo/video rules</t>
        </is>
      </c>
      <c r="G3" s="2" t="inlineStr">
        <is>
          <t>Add conditional values: Required / Optional if safe / Not requested / Unsafe to request; tie to category and hazard triggers.</t>
        </is>
      </c>
    </row>
    <row r="4" ht="75" customHeight="1">
      <c r="A4" s="2" t="inlineStr">
        <is>
          <t>Unclear-record triage too thin</t>
        </is>
      </c>
      <c r="B4" s="2" t="n">
        <v>0</v>
      </c>
      <c r="C4" s="2" t="inlineStr">
        <is>
          <t>Low-quality, vague, multi-issue records</t>
        </is>
      </c>
      <c r="D4" s="2" t="inlineStr">
        <is>
          <t>Medium</t>
        </is>
      </c>
      <c r="E4" s="2" t="inlineStr">
        <is>
          <t>Bot may force classification or ask generic questions instead of a structured triage path.</t>
        </is>
      </c>
      <c r="F4" s="2" t="inlineStr">
        <is>
          <t>Uncertainty handling rules</t>
        </is>
      </c>
      <c r="G4" s="2" t="inlineStr">
        <is>
          <t>Add unclear-record question set and default staff-triage handoff.</t>
        </is>
      </c>
    </row>
    <row r="5" ht="75" customHeight="1">
      <c r="A5" s="2" t="inlineStr">
        <is>
          <t>Tenant-caused indicators need strict staff-only boundary</t>
        </is>
      </c>
      <c r="B5" s="2" t="n">
        <v>28</v>
      </c>
      <c r="C5" s="2" t="inlineStr">
        <is>
          <t>Broken hardware, foreign objects, trash/pest, possible misuse/impact</t>
        </is>
      </c>
      <c r="D5" s="4" t="inlineStr">
        <is>
          <t>High</t>
        </is>
      </c>
      <c r="E5" s="2" t="inlineStr">
        <is>
          <t>Source supports staff-only flagging, but historical records often contain causation-sensitive wording; any resident exposure is a failing outcome.</t>
        </is>
      </c>
      <c r="F5" s="2" t="inlineStr">
        <is>
          <t>Guardrails/constraints/rubric</t>
        </is>
      </c>
      <c r="G5" s="2" t="inlineStr">
        <is>
          <t>Add automated test assertion: never show possible_tenant_caused_indicator or charge language to resident.</t>
        </is>
      </c>
    </row>
    <row r="6" ht="75" customHeight="1">
      <c r="A6" s="2" t="inlineStr">
        <is>
          <t>Access details required but often absent in historical descriptions</t>
        </is>
      </c>
      <c r="B6" s="2" t="n">
        <v>50</v>
      </c>
      <c r="C6" s="2" t="inlineStr">
        <is>
          <t>All 50 selected cases</t>
        </is>
      </c>
      <c r="D6" s="2" t="inlineStr">
        <is>
          <t>Medium</t>
        </is>
      </c>
      <c r="E6" s="2" t="inlineStr">
        <is>
          <t>Access, pet, alarm, gate, restricted areas, permission-to-enter are needed for handoff but not consistently present in source work orders.</t>
        </is>
      </c>
      <c r="F6" s="2" t="inlineStr">
        <is>
          <t>Required access fields</t>
        </is>
      </c>
      <c r="G6" s="2" t="inlineStr">
        <is>
          <t>Add mandatory access block before handoff except when emergency safety escalation would be delayed.</t>
        </is>
      </c>
    </row>
  </sheetData>
  <autoFilter ref="A1:G6"/>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F8"/>
  <sheetViews>
    <sheetView showGridLines="0" workbookViewId="0">
      <pane ySplit="1" topLeftCell="A2" activePane="bottomLeft" state="frozen"/>
      <selection pane="bottomLeft" activeCell="A1" sqref="A1"/>
    </sheetView>
  </sheetViews>
  <sheetFormatPr baseColWidth="8" defaultRowHeight="15"/>
  <cols>
    <col width="34" customWidth="1" min="1" max="1"/>
    <col width="34" customWidth="1" min="2" max="2"/>
    <col width="22" customWidth="1" min="3" max="3"/>
    <col width="58" customWidth="1" min="4" max="4"/>
    <col width="12" customWidth="1" min="5" max="5"/>
    <col width="70" customWidth="1" min="6" max="6"/>
  </cols>
  <sheetData>
    <row r="1">
      <c r="A1" s="1" t="inlineStr">
        <is>
          <t>Source File</t>
        </is>
      </c>
      <c r="B1" s="1" t="inlineStr">
        <is>
          <t>Section / Location</t>
        </is>
      </c>
      <c r="C1" s="1" t="inlineStr">
        <is>
          <t>Issue Type</t>
        </is>
      </c>
      <c r="D1" s="1" t="inlineStr">
        <is>
          <t>Problem</t>
        </is>
      </c>
      <c r="E1" s="1" t="inlineStr">
        <is>
          <t>Priority</t>
        </is>
      </c>
      <c r="F1" s="1" t="inlineStr">
        <is>
          <t>Recommended Source-File Correction</t>
        </is>
      </c>
    </row>
    <row r="2" ht="85" customHeight="1">
      <c r="A2" s="2" t="inlineStr">
        <is>
          <t>bot_guardrails(1).md</t>
        </is>
      </c>
      <c r="B2" s="2" t="inlineStr">
        <is>
          <t>Global Operating Rules / Emergency wording</t>
        </is>
      </c>
      <c r="C2" s="2" t="inlineStr">
        <is>
          <t>Critical conflict</t>
        </is>
      </c>
      <c r="D2" s="2" t="inlineStr">
        <is>
          <t>Guardrails says not to tell tenants to contact emergency services directly; constraints/rubric require emergency-services instruction.</t>
        </is>
      </c>
      <c r="E2" s="4" t="inlineStr">
        <is>
          <t>High</t>
        </is>
      </c>
      <c r="F2" s="2" t="inlineStr">
        <is>
          <t>Replace with one approved instruction. Recommended: use constraints emergency language for immediate danger, then continue intake only after safety instruction.</t>
        </is>
      </c>
    </row>
    <row r="3" ht="85" customHeight="1">
      <c r="A3" s="2" t="inlineStr">
        <is>
          <t>bot_constraints(2).md + bot_guardrails(1).md</t>
        </is>
      </c>
      <c r="B3" s="2" t="inlineStr">
        <is>
          <t>Photo/Video Handling</t>
        </is>
      </c>
      <c r="C3" s="2" t="inlineStr">
        <is>
          <t>Overcollection risk</t>
        </is>
      </c>
      <c r="D3" s="2" t="inlineStr">
        <is>
          <t>Rules say photos/videos should not be requested by default, but classification source marks every historical row as photo/video needed.</t>
        </is>
      </c>
      <c r="E3" s="4" t="inlineStr">
        <is>
          <t>High</t>
        </is>
      </c>
      <c r="F3" s="2" t="inlineStr">
        <is>
          <t>Define explicit photo_video_status options and category-specific triggers; make low-risk routine items optional/not requested.</t>
        </is>
      </c>
    </row>
    <row r="4" ht="85" customHeight="1">
      <c r="A4" s="2" t="inlineStr">
        <is>
          <t>tenant_maintenance_intake_troubleshooting_compliance_reviewed(4).xlsx</t>
        </is>
      </c>
      <c r="B4" s="2" t="inlineStr">
        <is>
          <t>Troubleshooting_Source column P</t>
        </is>
      </c>
      <c r="C4" s="2" t="inlineStr">
        <is>
          <t>Source logic weakness</t>
        </is>
      </c>
      <c r="D4" s="2" t="inlineStr">
        <is>
          <t>Photo/Video Required: Yes/No is too binary for safety/privacy nuance.</t>
        </is>
      </c>
      <c r="E4" s="2" t="inlineStr">
        <is>
          <t>Medium</t>
        </is>
      </c>
      <c r="F4" s="2" t="inlineStr">
        <is>
          <t>Change to: Required if safe / Optional if useful / Do not request initially / Unsafe to request.</t>
        </is>
      </c>
    </row>
    <row r="5" ht="85" customHeight="1">
      <c r="A5" s="2" t="inlineStr">
        <is>
          <t>tenant_maintenance_intake_troubleshooting_compliance_reviewed(4).xlsx</t>
        </is>
      </c>
      <c r="B5" s="2" t="inlineStr">
        <is>
          <t>Troubleshooting_Source unclear issue row</t>
        </is>
      </c>
      <c r="C5" s="2" t="inlineStr">
        <is>
          <t>Weak ambiguity workflow</t>
        </is>
      </c>
      <c r="D5" s="2" t="inlineStr">
        <is>
          <t>Unclear records need a stronger resident-facing triage script and staff-review default.</t>
        </is>
      </c>
      <c r="E5" s="2" t="inlineStr">
        <is>
          <t>Medium</t>
        </is>
      </c>
      <c r="F5" s="2" t="inlineStr">
        <is>
          <t>Add a decision tree: system affected, location, active hazard, critical service interruption, photos if helpful, access, and staff_triage severity.</t>
        </is>
      </c>
    </row>
    <row r="6" ht="85" customHeight="1">
      <c r="A6" s="2" t="inlineStr">
        <is>
          <t>bot_rubric(2).md</t>
        </is>
      </c>
      <c r="B6" s="2" t="inlineStr">
        <is>
          <t>Emergency Handling</t>
        </is>
      </c>
      <c r="C6" s="2" t="inlineStr">
        <is>
          <t>Rubric/source alignment</t>
        </is>
      </c>
      <c r="D6" s="2" t="inlineStr">
        <is>
          <t>Rubric says direct emergency-services instruction is excellent; guardrails currently disallow it.</t>
        </is>
      </c>
      <c r="E6" s="4" t="inlineStr">
        <is>
          <t>High</t>
        </is>
      </c>
      <c r="F6" s="2" t="inlineStr">
        <is>
          <t>After resolving emergency wording, update rubric examples so QA tests do not conflict with production guardrails.</t>
        </is>
      </c>
    </row>
    <row r="7" ht="85" customHeight="1">
      <c r="A7" s="2" t="inlineStr">
        <is>
          <t>All source files</t>
        </is>
      </c>
      <c r="B7" s="2" t="inlineStr">
        <is>
          <t>Tenant-caused damage tests</t>
        </is>
      </c>
      <c r="C7" s="2" t="inlineStr">
        <is>
          <t>Regression test needed</t>
        </is>
      </c>
      <c r="D7" s="2" t="inlineStr">
        <is>
          <t>Rules correctly require staff-only tenant-caused flags, but this is a high-risk failure mode.</t>
        </is>
      </c>
      <c r="E7" s="4" t="inlineStr">
        <is>
          <t>High</t>
        </is>
      </c>
      <c r="F7" s="2" t="inlineStr">
        <is>
          <t>Add automated QA assertions: no resident-facing charge/no-charge, responsibility, tenant-caused, owner responsibility, or vendor will decide language.</t>
        </is>
      </c>
    </row>
    <row r="8" ht="85" customHeight="1">
      <c r="A8" s="2" t="inlineStr">
        <is>
          <t>All source files</t>
        </is>
      </c>
      <c r="B8" s="2" t="inlineStr">
        <is>
          <t>Access handoff</t>
        </is>
      </c>
      <c r="C8" s="2" t="inlineStr">
        <is>
          <t>Operational completeness</t>
        </is>
      </c>
      <c r="D8" s="2" t="inlineStr">
        <is>
          <t>Access details are required but easy for the bot to skip in emergencies or vague records.</t>
        </is>
      </c>
      <c r="E8" s="2" t="inlineStr">
        <is>
          <t>Medium</t>
        </is>
      </c>
      <c r="F8" s="2" t="inlineStr">
        <is>
          <t>Add minimum access checklist with exception: do not delay life-safety escalation; collect after safety instruction.</t>
        </is>
      </c>
    </row>
  </sheetData>
  <autoFilter ref="A1:F8"/>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F18"/>
  <sheetViews>
    <sheetView showGridLines="0" workbookViewId="0">
      <pane ySplit="1" topLeftCell="A2" activePane="bottomLeft" state="frozen"/>
      <selection pane="bottomLeft" activeCell="A1" sqref="A1"/>
    </sheetView>
  </sheetViews>
  <sheetFormatPr baseColWidth="8" defaultRowHeight="15"/>
  <cols>
    <col width="32" customWidth="1" min="1" max="1"/>
    <col width="36" customWidth="1" min="2" max="2"/>
    <col width="72" customWidth="1" min="3" max="3"/>
    <col width="20" customWidth="1" min="5" max="5"/>
    <col width="12" customWidth="1" min="6" max="6"/>
  </cols>
  <sheetData>
    <row r="1" ht="28" customHeight="1">
      <c r="A1" s="7" t="inlineStr">
        <is>
          <t>Metric</t>
        </is>
      </c>
      <c r="B1" s="7" t="inlineStr">
        <is>
          <t>Value</t>
        </is>
      </c>
      <c r="C1" s="7" t="inlineStr">
        <is>
          <t>Reviewer Note</t>
        </is>
      </c>
      <c r="E1" s="8" t="inlineStr">
        <is>
          <t>QA Result Counts</t>
        </is>
      </c>
    </row>
    <row r="2" ht="46" customHeight="1">
      <c r="A2" s="2" t="inlineStr">
        <is>
          <t>Historical work orders sampled</t>
        </is>
      </c>
      <c r="B2" s="2" t="n">
        <v>50</v>
      </c>
      <c r="C2" s="2" t="inlineStr">
        <is>
          <t>Balanced across plumbing, HVAC, electrical, appliance, door/lock/garage, roof/exterior, pest, handyman, emergency candidates, and unclear records.</t>
        </is>
      </c>
      <c r="E2" s="9" t="inlineStr">
        <is>
          <t>Pass</t>
        </is>
      </c>
      <c r="F2" s="10" t="n">
        <v>42</v>
      </c>
    </row>
    <row r="3" ht="46" customHeight="1">
      <c r="A3" s="2" t="inlineStr">
        <is>
          <t>QA Pass</t>
        </is>
      </c>
      <c r="B3" s="2" t="n">
        <v>42</v>
      </c>
      <c r="C3" s="2" t="inlineStr">
        <is>
          <t>Source files clearly support correct expected response.</t>
        </is>
      </c>
      <c r="E3" s="11" t="inlineStr">
        <is>
          <t>Watch</t>
        </is>
      </c>
      <c r="F3" s="10" t="n">
        <v>4</v>
      </c>
    </row>
    <row r="4" ht="46" customHeight="1">
      <c r="A4" s="2" t="inlineStr">
        <is>
          <t>QA Watch</t>
        </is>
      </c>
      <c r="B4" s="2" t="n">
        <v>4</v>
      </c>
      <c r="C4" s="2" t="inlineStr">
        <is>
          <t>Source files mostly support response but rule is weak, conditional, or ambiguous.</t>
        </is>
      </c>
      <c r="E4" s="12" t="inlineStr">
        <is>
          <t>Fail</t>
        </is>
      </c>
      <c r="F4" s="10" t="n">
        <v>4</v>
      </c>
    </row>
    <row r="5" ht="46" customHeight="1">
      <c r="A5" s="2" t="inlineStr">
        <is>
          <t>QA Fail</t>
        </is>
      </c>
      <c r="B5" s="2" t="n">
        <v>4</v>
      </c>
      <c r="C5" s="2" t="inlineStr">
        <is>
          <t>Source conflict or material source-file correction required.</t>
        </is>
      </c>
    </row>
    <row r="6" ht="46" customHeight="1">
      <c r="A6" s="2" t="inlineStr">
        <is>
          <t>High-risk failures</t>
        </is>
      </c>
      <c r="B6" s="2" t="n">
        <v>4</v>
      </c>
      <c r="C6" s="2" t="inlineStr">
        <is>
          <t>Emergency/source-conflict failures are launch blockers.</t>
        </is>
      </c>
    </row>
    <row r="7" ht="46" customHeight="1">
      <c r="A7" s="2" t="inlineStr">
        <is>
          <t>Readiness score</t>
        </is>
      </c>
      <c r="B7" s="2" t="n">
        <v>30</v>
      </c>
      <c r="C7" s="2" t="inlineStr">
        <is>
          <t>Conservative score after penalties for conflicts, watch items, and high-risk failures.</t>
        </is>
      </c>
    </row>
    <row r="8" ht="46" customHeight="1">
      <c r="A8" s="2" t="inlineStr">
        <is>
          <t>Final readiness decision</t>
        </is>
      </c>
      <c r="B8" s="2" t="inlineStr">
        <is>
          <t>Not ready for unsupervised tenant-facing launch</t>
        </is>
      </c>
      <c r="C8" s="2" t="inlineStr">
        <is>
          <t>Human-reviewed tenant-facing launch should wait until high-priority corrections are made.</t>
        </is>
      </c>
    </row>
    <row r="9" ht="46" customHeight="1">
      <c r="A9" s="2" t="inlineStr">
        <is>
          <t>Primary blocker</t>
        </is>
      </c>
      <c r="B9" s="2" t="inlineStr">
        <is>
          <t>Emergency-services instruction conflict</t>
        </is>
      </c>
      <c r="C9" s="2" t="inlineStr">
        <is>
          <t>Guardrails conflict with constraints/rubric for immediate danger cases.</t>
        </is>
      </c>
    </row>
    <row r="10" ht="46" customHeight="1">
      <c r="A10" s="2" t="inlineStr">
        <is>
          <t>Secondary blocker</t>
        </is>
      </c>
      <c r="B10" s="2" t="inlineStr">
        <is>
          <t>Photo/video default logic</t>
        </is>
      </c>
      <c r="C10" s="2" t="inlineStr">
        <is>
          <t>Classification source over-requests photos/videos and needs conditional safety/privacy logic.</t>
        </is>
      </c>
    </row>
    <row r="13">
      <c r="A13" s="13" t="inlineStr">
        <is>
          <t>Source files reviewed</t>
        </is>
      </c>
    </row>
    <row r="14">
      <c r="A14" s="14" t="inlineStr">
        <is>
          <t>bot_guardrails(1).md</t>
        </is>
      </c>
      <c r="B14" s="14" t="inlineStr">
        <is>
          <t>Reviewed for rules, rubric, source category support, and historical expected classifications.</t>
        </is>
      </c>
    </row>
    <row r="15">
      <c r="A15" s="14" t="inlineStr">
        <is>
          <t>bot_constraints(2).md</t>
        </is>
      </c>
      <c r="B15" s="14" t="inlineStr">
        <is>
          <t>Reviewed for rules, rubric, source category support, and historical expected classifications.</t>
        </is>
      </c>
    </row>
    <row r="16">
      <c r="A16" s="14" t="inlineStr">
        <is>
          <t>bot_rubric(2).md</t>
        </is>
      </c>
      <c r="B16" s="14" t="inlineStr">
        <is>
          <t>Reviewed for rules, rubric, source category support, and historical expected classifications.</t>
        </is>
      </c>
    </row>
    <row r="17">
      <c r="A17" s="14" t="inlineStr">
        <is>
          <t>tenant_maintenance_intake_troubleshooting_compliance_reviewed(4).xlsx</t>
        </is>
      </c>
      <c r="B17" s="14" t="inlineStr">
        <is>
          <t>Reviewed for rules, rubric, source category support, and historical expected classifications.</t>
        </is>
      </c>
    </row>
    <row r="18">
      <c r="A18" s="14" t="inlineStr">
        <is>
          <t>work_orders_bot_classified(2).xlsx</t>
        </is>
      </c>
      <c r="B18" s="14" t="inlineStr">
        <is>
          <t>Reviewed for rules, rubric, source category support, and historical expected classifications.</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OpenAI ChatGPT</dc:creator>
  <dc:title xmlns:dc="http://purl.org/dc/elements/1.1/">Maintenance Bot QA - 50 Historical Work Orders</dc:title>
  <dc:subject xmlns:dc="http://purl.org/dc/elements/1.1/">Strict QA review of tenant-facing property maintenance bot source files</dc:subject>
  <dcterms:created xmlns:dcterms="http://purl.org/dc/terms/" xmlns:xsi="http://www.w3.org/2001/XMLSchema-instance" xsi:type="dcterms:W3CDTF">2026-06-11T20:59:44Z</dcterms:created>
  <dcterms:modified xmlns:dcterms="http://purl.org/dc/terms/" xmlns:xsi="http://www.w3.org/2001/XMLSchema-instance" xsi:type="dcterms:W3CDTF">2026-06-11T20:59:44Z</dcterms:modified>
</cp:coreProperties>
</file>